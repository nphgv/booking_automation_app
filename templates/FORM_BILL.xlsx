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20" windowWidth="19035" windowHeight="11715"/>
  </bookViews>
  <sheets>
    <sheet name="BL FORM " sheetId="1" r:id="rId1"/>
    <sheet name="HBL " sheetId="2" r:id="rId2"/>
    <sheet name="MBL " sheetId="3" r:id="rId3"/>
  </sheets>
  <externalReferences>
    <externalReference r:id="rId4"/>
  </externalReferences>
  <definedNames>
    <definedName name="_Hlk123206136" localSheetId="0">'BL FORM '!#REF!</definedName>
    <definedName name="_Hlk123206143" localSheetId="0">'BL FORM '!$A$48</definedName>
    <definedName name="_Hlk32592103" localSheetId="0">'BL FORM '!#REF!</definedName>
  </definedNames>
  <calcPr calcId="144525"/>
</workbook>
</file>

<file path=xl/calcChain.xml><?xml version="1.0" encoding="utf-8"?>
<calcChain xmlns="http://schemas.openxmlformats.org/spreadsheetml/2006/main">
  <c r="I36" i="2" l="1"/>
  <c r="I37" i="2"/>
  <c r="I38" i="2"/>
  <c r="I39" i="2"/>
  <c r="I40" i="2"/>
  <c r="I41" i="2"/>
  <c r="I47" i="2"/>
  <c r="A55" i="2" l="1"/>
  <c r="M53" i="3" l="1"/>
  <c r="M54" i="3"/>
  <c r="M55" i="3"/>
  <c r="M52" i="3"/>
  <c r="I37" i="3"/>
  <c r="I38" i="3"/>
  <c r="I39" i="3"/>
  <c r="I40" i="3"/>
  <c r="I41" i="3"/>
  <c r="I42" i="3"/>
  <c r="I44" i="3"/>
  <c r="I45" i="3"/>
  <c r="I46" i="3"/>
  <c r="I47" i="3"/>
  <c r="I48" i="3"/>
  <c r="I49" i="3"/>
  <c r="I50" i="3"/>
  <c r="I52" i="3"/>
  <c r="I53" i="3"/>
  <c r="I54" i="3"/>
  <c r="I55" i="3"/>
  <c r="I56" i="3"/>
  <c r="I57" i="3"/>
  <c r="A47" i="3"/>
  <c r="A48" i="3"/>
  <c r="A49" i="3"/>
  <c r="A50" i="3"/>
  <c r="A51" i="3"/>
  <c r="A52" i="3"/>
  <c r="A53" i="3"/>
  <c r="A54" i="3"/>
  <c r="A56" i="3"/>
  <c r="A47" i="2"/>
  <c r="A43" i="3" l="1"/>
  <c r="A44" i="3"/>
  <c r="A45" i="3"/>
  <c r="A46" i="3"/>
  <c r="A42" i="2"/>
  <c r="A43" i="2"/>
  <c r="A44" i="2"/>
  <c r="A45" i="2"/>
  <c r="A46" i="2"/>
  <c r="E28" i="2" l="1"/>
  <c r="E29" i="3" l="1"/>
  <c r="A37" i="2" l="1"/>
  <c r="A38" i="2"/>
  <c r="A40" i="2"/>
  <c r="A41" i="2"/>
  <c r="B13" i="2"/>
  <c r="B14" i="2"/>
  <c r="B15" i="2"/>
  <c r="B16" i="2"/>
  <c r="B17" i="2"/>
  <c r="A42" i="3" l="1"/>
  <c r="B7" i="2"/>
  <c r="B8" i="2"/>
  <c r="B9" i="2"/>
  <c r="B10" i="2"/>
  <c r="A38" i="3" l="1"/>
  <c r="A39" i="3"/>
  <c r="A41" i="3"/>
  <c r="I36" i="3" l="1"/>
  <c r="B14" i="3"/>
  <c r="B15" i="3"/>
  <c r="B16" i="3"/>
  <c r="B17" i="3"/>
  <c r="B18" i="3"/>
  <c r="B13" i="3"/>
  <c r="A66" i="2" l="1"/>
  <c r="A67" i="2"/>
  <c r="A68" i="2"/>
  <c r="Q67" i="3" l="1"/>
  <c r="Q33" i="3"/>
  <c r="P33" i="3"/>
  <c r="I32" i="3"/>
  <c r="A35" i="3"/>
  <c r="F33" i="3"/>
  <c r="A29" i="3"/>
  <c r="P71" i="2" l="1"/>
  <c r="P32" i="2"/>
  <c r="O32" i="2"/>
  <c r="I35" i="2"/>
  <c r="I31" i="2"/>
  <c r="A34" i="2"/>
  <c r="M8" i="2"/>
  <c r="E32" i="2"/>
  <c r="A28" i="2"/>
  <c r="B12" i="2"/>
  <c r="B6" i="2"/>
  <c r="E26" i="2" l="1"/>
  <c r="J28" i="2" l="1"/>
  <c r="A64" i="2" l="1"/>
  <c r="A65" i="2"/>
  <c r="A63" i="2"/>
  <c r="K29" i="3"/>
  <c r="O29" i="3" s="1"/>
  <c r="N28" i="2"/>
  <c r="I34" i="1" l="1"/>
  <c r="A34" i="1"/>
  <c r="I33" i="1"/>
  <c r="O29" i="1"/>
  <c r="I33" i="3" l="1"/>
  <c r="I32" i="2"/>
  <c r="A34" i="3"/>
  <c r="A33" i="2"/>
  <c r="I34" i="3"/>
  <c r="I33" i="2"/>
</calcChain>
</file>

<file path=xl/sharedStrings.xml><?xml version="1.0" encoding="utf-8"?>
<sst xmlns="http://schemas.openxmlformats.org/spreadsheetml/2006/main" count="162" uniqueCount="82">
  <si>
    <t>SHIPPER</t>
  </si>
  <si>
    <t>B/L No.</t>
  </si>
  <si>
    <t/>
  </si>
  <si>
    <t>CONSIGNEE</t>
  </si>
  <si>
    <t>NOTIFY PARTY</t>
  </si>
  <si>
    <t>SAME AS CONSIGNEE</t>
  </si>
  <si>
    <t>PIER</t>
  </si>
  <si>
    <t>PLACE OF RECEIPT*</t>
  </si>
  <si>
    <t>VESSEL/VOY</t>
  </si>
  <si>
    <t>PORT OF LOADING</t>
  </si>
  <si>
    <t>PORT OF DISCHARGE</t>
  </si>
  <si>
    <t>PORT OF DELIVERY</t>
  </si>
  <si>
    <t>CARRIER'S RECEIPT</t>
  </si>
  <si>
    <t xml:space="preserve">                                     PARTICULARS FUNISHED BY SHIPPER - CARRIER NOT RESPONSIBLE</t>
  </si>
  <si>
    <t>Container No., Seal No., Mark and Number</t>
  </si>
  <si>
    <t>No. of container of pkgs</t>
  </si>
  <si>
    <t>Kind of packages description of goods</t>
  </si>
  <si>
    <t>Gross weight</t>
  </si>
  <si>
    <t>Measurament</t>
  </si>
  <si>
    <t>For delivery of goods apply to</t>
  </si>
  <si>
    <t>IN WITNESS WHERE OF three (3) Bill of lading all of this tenor and date have been</t>
  </si>
  <si>
    <t>singed one of which being accomplished of other to stand void</t>
  </si>
  <si>
    <t>Singed  as the Carrier</t>
  </si>
  <si>
    <t>Freight and charge</t>
  </si>
  <si>
    <t>Preipaid</t>
  </si>
  <si>
    <t>Collect</t>
  </si>
  <si>
    <t>Place and date of inssue</t>
  </si>
  <si>
    <t>CLEAN ON BOARD</t>
  </si>
  <si>
    <t>AS ARRANGED</t>
  </si>
  <si>
    <t>HOCHIMINH CITY, VIETNAM</t>
  </si>
  <si>
    <t>STAM and signature</t>
  </si>
  <si>
    <t>AS CARRIER</t>
  </si>
  <si>
    <t xml:space="preserve">BILL OF LADING </t>
  </si>
  <si>
    <t xml:space="preserve">MANILA, PHILIPIINES </t>
  </si>
  <si>
    <t>FREIGHT PREPAID</t>
  </si>
  <si>
    <t>SHIPPER'S LOAD A COUNT CONTAINERS</t>
  </si>
  <si>
    <r>
      <rPr>
        <b/>
        <sz val="10"/>
        <color rgb="FF002060"/>
        <rFont val="Arial"/>
        <family val="2"/>
      </rPr>
      <t xml:space="preserve">B/L No.  </t>
    </r>
    <r>
      <rPr>
        <b/>
        <sz val="10"/>
        <rFont val="Arial"/>
        <family val="2"/>
      </rPr>
      <t xml:space="preserve">  </t>
    </r>
  </si>
  <si>
    <t>DAI QUOC VIET SHIPPING CO., LTD</t>
  </si>
  <si>
    <t>CENTRAL BUSINESS PARK 1, PASAY CITY, 1300 METRO</t>
  </si>
  <si>
    <t>BAYER VIETNAM LTD.</t>
  </si>
  <si>
    <t>KAISER- WILHELM- ALLEE 1</t>
  </si>
  <si>
    <t>51373 LEVERKUSEN</t>
  </si>
  <si>
    <t>GERMANY.</t>
  </si>
  <si>
    <t>BAYER CROPSCIENCE, INC.</t>
  </si>
  <si>
    <t xml:space="preserve">MARKING </t>
  </si>
  <si>
    <t>MANILA</t>
  </si>
  <si>
    <t>PACIFIC CHARTER FORWARDERS INC</t>
  </si>
  <si>
    <t>UNIT 902, PHILFLEX BAY CENTER, CORAL WAY DRIVE</t>
  </si>
  <si>
    <t>Email: forwarding@pcharter.com / geraldine@pcharter.com</t>
  </si>
  <si>
    <t>Tel: 63-2-2930577, 2930587, 2930588, 2930589</t>
  </si>
  <si>
    <t>FOR THE ACCOUNT OF BAYER AG</t>
  </si>
  <si>
    <t>8TH FLOOR, SCIENCE HUB TOWER 1,</t>
  </si>
  <si>
    <t>CAMPUS AVENUE CORNER TURIN STREET,</t>
  </si>
  <si>
    <t>MCKINLEY HILL CYBERPARK,</t>
  </si>
  <si>
    <t>PINAGSAMA, TAGUIG CITY 1630, PHILIPPINES</t>
  </si>
  <si>
    <t>TIN NUMBER: 219-883-990-00000.</t>
  </si>
  <si>
    <t>BAYER</t>
  </si>
  <si>
    <t>HS CODE: 38089319</t>
  </si>
  <si>
    <t xml:space="preserve">HO CHI MINH VIET NAM </t>
  </si>
  <si>
    <t xml:space="preserve">SAY ONE CONTAINER ONLY </t>
  </si>
  <si>
    <t>BSGNC25032547</t>
  </si>
  <si>
    <t xml:space="preserve">6TH FLOOR, 607-609 NGUYEN KIEM, DUC </t>
  </si>
  <si>
    <t xml:space="preserve">NHUAN WARD, HO CHI MINH CITY, </t>
  </si>
  <si>
    <t xml:space="preserve">VIET NAM </t>
  </si>
  <si>
    <t>EMAIL: DOC9@DAIQUOCVIET.COM</t>
  </si>
  <si>
    <t xml:space="preserve">HO CHI MINH </t>
  </si>
  <si>
    <t>NOMINEE KL 24X(250ML+250ML) COP PH</t>
  </si>
  <si>
    <t>UNIT PACK  : 0.5 LITRES /PCE</t>
  </si>
  <si>
    <t>SONGA SUCCESS  1054N</t>
  </si>
  <si>
    <t>TAN CANG CAI MEP</t>
  </si>
  <si>
    <t>10 PALLETS</t>
  </si>
  <si>
    <t xml:space="preserve">TTL: 1X20DC </t>
  </si>
  <si>
    <t>0618190738</t>
  </si>
  <si>
    <t xml:space="preserve">9080889 10 </t>
  </si>
  <si>
    <t xml:space="preserve">09 PALLETS OF 36 BOXES OF 24 BOTTLES OF 500ML </t>
  </si>
  <si>
    <t>01 PALLETS OF 06 BOXES OF 24 BOTTLES OF 500ML</t>
  </si>
  <si>
    <t>NET WEIGHT : 7,920.00 PCE</t>
  </si>
  <si>
    <t>GROSS WEIGHT  : 4,340.16 KGS</t>
  </si>
  <si>
    <t xml:space="preserve">10 CBM </t>
  </si>
  <si>
    <t xml:space="preserve">RFSU3015146/ VNSGN2637961/ 20DC/ 10PP/ 4,430.16 KGS </t>
  </si>
  <si>
    <t>HCM-PHLPSE260824</t>
  </si>
  <si>
    <t xml:space="preserve">4,340.16 KGS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</si>
</sst>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31" x14ac:knownFonts="1">
    <font>
      <sz val="10"/>
      <name val="Arial"/>
    </font>
    <font>
      <sz val="10"/>
      <name val="Arial"/>
    </font>
    <font>
      <sz val="7"/>
      <name val="Arial"/>
      <family val="2"/>
    </font>
    <font>
      <b/>
      <sz val="1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i/>
      <sz val="2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7"/>
      <name val="Arial"/>
      <family val="2"/>
    </font>
    <font>
      <b/>
      <sz val="22"/>
      <name val="Arial"/>
      <family val="2"/>
    </font>
    <font>
      <b/>
      <sz val="26"/>
      <name val="Arial"/>
      <family val="2"/>
    </font>
    <font>
      <b/>
      <sz val="22"/>
      <color rgb="FF002060"/>
      <name val="Times New Roman"/>
      <family val="1"/>
    </font>
    <font>
      <b/>
      <sz val="10"/>
      <color rgb="FF002060"/>
      <name val="Arial"/>
      <family val="2"/>
    </font>
    <font>
      <sz val="8"/>
      <color rgb="FF002060"/>
      <name val="Arial"/>
      <family val="2"/>
    </font>
    <font>
      <b/>
      <sz val="8"/>
      <color rgb="FF002060"/>
      <name val="Arial"/>
      <family val="2"/>
    </font>
    <font>
      <sz val="8.5"/>
      <color rgb="FF002060"/>
      <name val="Arial"/>
      <family val="2"/>
    </font>
    <font>
      <sz val="7"/>
      <color rgb="FF002060"/>
      <name val="Arial"/>
      <family val="2"/>
    </font>
    <font>
      <b/>
      <sz val="8.5"/>
      <color rgb="FF002060"/>
      <name val="Arial"/>
      <family val="2"/>
    </font>
    <font>
      <b/>
      <sz val="7"/>
      <color rgb="FF002060"/>
      <name val="Arial"/>
      <family val="2"/>
    </font>
    <font>
      <b/>
      <sz val="11"/>
      <color rgb="FF002060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2" fillId="2" borderId="0" xfId="0" applyFont="1" applyFill="1" applyBorder="1"/>
    <xf numFmtId="164" fontId="2" fillId="2" borderId="0" xfId="0" applyNumberFormat="1" applyFont="1" applyFill="1" applyBorder="1"/>
    <xf numFmtId="0" fontId="2" fillId="2" borderId="0" xfId="0" applyFont="1" applyFill="1"/>
    <xf numFmtId="0" fontId="4" fillId="2" borderId="0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6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164" fontId="5" fillId="2" borderId="1" xfId="0" applyNumberFormat="1" applyFont="1" applyFill="1" applyBorder="1"/>
    <xf numFmtId="0" fontId="2" fillId="0" borderId="0" xfId="0" applyFont="1"/>
    <xf numFmtId="0" fontId="7" fillId="2" borderId="0" xfId="0" applyFont="1" applyFill="1" applyBorder="1"/>
    <xf numFmtId="0" fontId="5" fillId="2" borderId="0" xfId="0" applyFont="1" applyFill="1" applyBorder="1"/>
    <xf numFmtId="0" fontId="5" fillId="2" borderId="3" xfId="0" applyFont="1" applyFill="1" applyBorder="1"/>
    <xf numFmtId="0" fontId="6" fillId="2" borderId="0" xfId="0" applyFont="1" applyFill="1" applyBorder="1"/>
    <xf numFmtId="164" fontId="5" fillId="2" borderId="0" xfId="0" applyNumberFormat="1" applyFont="1" applyFill="1" applyBorder="1"/>
    <xf numFmtId="0" fontId="9" fillId="2" borderId="0" xfId="0" applyFont="1" applyFill="1" applyBorder="1"/>
    <xf numFmtId="0" fontId="10" fillId="2" borderId="0" xfId="0" applyFont="1" applyFill="1" applyBorder="1"/>
    <xf numFmtId="0" fontId="4" fillId="2" borderId="0" xfId="0" applyFont="1" applyFill="1" applyBorder="1" applyAlignment="1">
      <alignment vertical="center"/>
    </xf>
    <xf numFmtId="0" fontId="5" fillId="2" borderId="0" xfId="0" quotePrefix="1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6" fillId="2" borderId="4" xfId="0" applyFont="1" applyFill="1" applyBorder="1"/>
    <xf numFmtId="164" fontId="5" fillId="2" borderId="4" xfId="0" applyNumberFormat="1" applyFont="1" applyFill="1" applyBorder="1"/>
    <xf numFmtId="0" fontId="5" fillId="2" borderId="6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11" fillId="2" borderId="0" xfId="0" applyFont="1" applyFill="1" applyBorder="1"/>
    <xf numFmtId="0" fontId="2" fillId="0" borderId="0" xfId="0" quotePrefix="1" applyFont="1"/>
    <xf numFmtId="0" fontId="12" fillId="2" borderId="0" xfId="0" applyFont="1" applyFill="1" applyBorder="1" applyAlignment="1">
      <alignment horizontal="center"/>
    </xf>
    <xf numFmtId="0" fontId="4" fillId="2" borderId="4" xfId="0" quotePrefix="1" applyFont="1" applyFill="1" applyBorder="1" applyAlignment="1">
      <alignment vertical="top"/>
    </xf>
    <xf numFmtId="0" fontId="13" fillId="0" borderId="0" xfId="0" applyFont="1" applyBorder="1" applyAlignment="1">
      <alignment vertical="top" wrapText="1"/>
    </xf>
    <xf numFmtId="164" fontId="14" fillId="0" borderId="0" xfId="0" applyNumberFormat="1" applyFont="1" applyBorder="1" applyAlignment="1"/>
    <xf numFmtId="0" fontId="5" fillId="2" borderId="8" xfId="0" applyFont="1" applyFill="1" applyBorder="1"/>
    <xf numFmtId="0" fontId="11" fillId="0" borderId="1" xfId="0" applyFont="1" applyBorder="1" applyAlignment="1">
      <alignment vertical="top" wrapText="1"/>
    </xf>
    <xf numFmtId="164" fontId="5" fillId="0" borderId="1" xfId="0" applyNumberFormat="1" applyFont="1" applyBorder="1" applyAlignment="1"/>
    <xf numFmtId="0" fontId="5" fillId="2" borderId="7" xfId="0" applyFont="1" applyFill="1" applyBorder="1"/>
    <xf numFmtId="0" fontId="4" fillId="2" borderId="4" xfId="0" applyFont="1" applyFill="1" applyBorder="1"/>
    <xf numFmtId="0" fontId="13" fillId="0" borderId="4" xfId="0" applyFont="1" applyBorder="1" applyAlignment="1">
      <alignment vertical="top" wrapText="1"/>
    </xf>
    <xf numFmtId="0" fontId="4" fillId="2" borderId="7" xfId="0" applyFont="1" applyFill="1" applyBorder="1"/>
    <xf numFmtId="164" fontId="14" fillId="0" borderId="4" xfId="0" applyNumberFormat="1" applyFont="1" applyBorder="1" applyAlignment="1"/>
    <xf numFmtId="0" fontId="11" fillId="2" borderId="11" xfId="0" applyFont="1" applyFill="1" applyBorder="1" applyAlignment="1"/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0" xfId="0" applyFont="1"/>
    <xf numFmtId="0" fontId="2" fillId="0" borderId="0" xfId="0" applyFont="1" applyBorder="1"/>
    <xf numFmtId="0" fontId="4" fillId="2" borderId="0" xfId="0" applyFont="1" applyFill="1" applyBorder="1" applyAlignment="1"/>
    <xf numFmtId="164" fontId="5" fillId="2" borderId="2" xfId="0" applyNumberFormat="1" applyFont="1" applyFill="1" applyBorder="1"/>
    <xf numFmtId="0" fontId="4" fillId="0" borderId="0" xfId="0" quotePrefix="1" applyFont="1" applyBorder="1"/>
    <xf numFmtId="0" fontId="4" fillId="2" borderId="3" xfId="0" applyFont="1" applyFill="1" applyBorder="1" applyAlignment="1"/>
    <xf numFmtId="4" fontId="4" fillId="2" borderId="3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/>
    <xf numFmtId="0" fontId="1" fillId="2" borderId="0" xfId="0" applyFont="1" applyFill="1" applyBorder="1" applyAlignment="1"/>
    <xf numFmtId="0" fontId="15" fillId="2" borderId="0" xfId="0" applyFont="1" applyFill="1" applyBorder="1" applyAlignment="1"/>
    <xf numFmtId="3" fontId="2" fillId="0" borderId="0" xfId="0" applyNumberFormat="1" applyFont="1" applyBorder="1"/>
    <xf numFmtId="0" fontId="2" fillId="0" borderId="3" xfId="0" applyFont="1" applyBorder="1"/>
    <xf numFmtId="0" fontId="15" fillId="2" borderId="3" xfId="0" applyFont="1" applyFill="1" applyBorder="1" applyAlignment="1">
      <alignment horizontal="center"/>
    </xf>
    <xf numFmtId="164" fontId="15" fillId="2" borderId="6" xfId="0" applyNumberFormat="1" applyFont="1" applyFill="1" applyBorder="1" applyAlignment="1">
      <alignment horizontal="center"/>
    </xf>
    <xf numFmtId="0" fontId="1" fillId="2" borderId="0" xfId="0" applyFont="1" applyFill="1" applyBorder="1"/>
    <xf numFmtId="0" fontId="10" fillId="0" borderId="0" xfId="0" applyFont="1" applyBorder="1" applyAlignment="1"/>
    <xf numFmtId="0" fontId="15" fillId="0" borderId="0" xfId="0" applyFont="1" applyBorder="1" applyAlignment="1"/>
    <xf numFmtId="0" fontId="15" fillId="2" borderId="0" xfId="0" applyFont="1" applyFill="1" applyBorder="1"/>
    <xf numFmtId="0" fontId="5" fillId="2" borderId="13" xfId="0" applyFont="1" applyFill="1" applyBorder="1" applyAlignment="1">
      <alignment horizontal="center"/>
    </xf>
    <xf numFmtId="0" fontId="2" fillId="0" borderId="0" xfId="0" quotePrefix="1" applyFont="1" applyBorder="1"/>
    <xf numFmtId="0" fontId="15" fillId="2" borderId="0" xfId="0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 applyAlignment="1">
      <alignment vertical="center"/>
    </xf>
    <xf numFmtId="0" fontId="2" fillId="0" borderId="13" xfId="0" applyFont="1" applyBorder="1"/>
    <xf numFmtId="164" fontId="2" fillId="0" borderId="0" xfId="0" applyNumberFormat="1" applyFont="1"/>
    <xf numFmtId="0" fontId="1" fillId="0" borderId="0" xfId="0" applyFont="1" applyBorder="1" applyAlignment="1">
      <alignment horizontal="left"/>
    </xf>
    <xf numFmtId="164" fontId="5" fillId="2" borderId="6" xfId="0" applyNumberFormat="1" applyFont="1" applyFill="1" applyBorder="1"/>
    <xf numFmtId="0" fontId="16" fillId="2" borderId="0" xfId="0" applyFont="1" applyFill="1" applyBorder="1" applyAlignment="1"/>
    <xf numFmtId="0" fontId="5" fillId="2" borderId="13" xfId="0" applyFont="1" applyFill="1" applyBorder="1"/>
    <xf numFmtId="164" fontId="2" fillId="0" borderId="0" xfId="0" applyNumberFormat="1" applyFont="1" applyBorder="1"/>
    <xf numFmtId="0" fontId="2" fillId="2" borderId="4" xfId="0" applyFont="1" applyFill="1" applyBorder="1"/>
    <xf numFmtId="0" fontId="2" fillId="0" borderId="4" xfId="0" applyFont="1" applyBorder="1"/>
    <xf numFmtId="0" fontId="2" fillId="2" borderId="5" xfId="0" applyFont="1" applyFill="1" applyBorder="1"/>
    <xf numFmtId="0" fontId="2" fillId="0" borderId="5" xfId="0" applyFont="1" applyBorder="1"/>
    <xf numFmtId="0" fontId="2" fillId="0" borderId="14" xfId="0" applyFont="1" applyBorder="1"/>
    <xf numFmtId="164" fontId="2" fillId="0" borderId="7" xfId="0" applyNumberFormat="1" applyFont="1" applyBorder="1"/>
    <xf numFmtId="0" fontId="2" fillId="0" borderId="1" xfId="0" applyFont="1" applyBorder="1"/>
    <xf numFmtId="0" fontId="2" fillId="0" borderId="8" xfId="0" applyFont="1" applyBorder="1"/>
    <xf numFmtId="14" fontId="2" fillId="0" borderId="0" xfId="0" applyNumberFormat="1" applyFont="1" applyBorder="1"/>
    <xf numFmtId="164" fontId="17" fillId="0" borderId="0" xfId="0" applyNumberFormat="1" applyFont="1" applyBorder="1" applyAlignment="1">
      <alignment horizontal="right"/>
    </xf>
    <xf numFmtId="0" fontId="9" fillId="0" borderId="0" xfId="0" applyFont="1" applyBorder="1"/>
    <xf numFmtId="0" fontId="2" fillId="0" borderId="7" xfId="0" applyFont="1" applyBorder="1"/>
    <xf numFmtId="164" fontId="2" fillId="0" borderId="4" xfId="0" applyNumberFormat="1" applyFont="1" applyBorder="1"/>
    <xf numFmtId="0" fontId="2" fillId="0" borderId="2" xfId="0" applyFont="1" applyBorder="1"/>
    <xf numFmtId="0" fontId="2" fillId="0" borderId="6" xfId="0" applyFont="1" applyBorder="1"/>
    <xf numFmtId="0" fontId="5" fillId="0" borderId="9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/>
    </xf>
    <xf numFmtId="0" fontId="6" fillId="2" borderId="0" xfId="0" applyFont="1" applyFill="1" applyBorder="1" applyAlignment="1"/>
    <xf numFmtId="0" fontId="19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3" fillId="2" borderId="1" xfId="0" applyFont="1" applyFill="1" applyBorder="1"/>
    <xf numFmtId="0" fontId="25" fillId="0" borderId="0" xfId="0" applyFont="1"/>
    <xf numFmtId="0" fontId="23" fillId="2" borderId="2" xfId="0" applyFont="1" applyFill="1" applyBorder="1"/>
    <xf numFmtId="0" fontId="26" fillId="2" borderId="0" xfId="0" applyFont="1" applyFill="1" applyBorder="1"/>
    <xf numFmtId="0" fontId="23" fillId="2" borderId="0" xfId="0" applyFont="1" applyFill="1" applyBorder="1"/>
    <xf numFmtId="164" fontId="23" fillId="2" borderId="0" xfId="0" applyNumberFormat="1" applyFont="1" applyFill="1" applyBorder="1"/>
    <xf numFmtId="0" fontId="27" fillId="0" borderId="0" xfId="0" applyFont="1"/>
    <xf numFmtId="0" fontId="23" fillId="2" borderId="8" xfId="0" applyFont="1" applyFill="1" applyBorder="1"/>
    <xf numFmtId="0" fontId="23" fillId="0" borderId="1" xfId="0" applyFont="1" applyBorder="1" applyAlignment="1">
      <alignment vertical="top" wrapText="1"/>
    </xf>
    <xf numFmtId="164" fontId="23" fillId="0" borderId="1" xfId="0" applyNumberFormat="1" applyFont="1" applyBorder="1" applyAlignment="1"/>
    <xf numFmtId="0" fontId="23" fillId="2" borderId="9" xfId="0" applyFont="1" applyFill="1" applyBorder="1" applyAlignment="1">
      <alignment vertical="center"/>
    </xf>
    <xf numFmtId="0" fontId="23" fillId="2" borderId="10" xfId="0" applyFont="1" applyFill="1" applyBorder="1" applyAlignment="1">
      <alignment horizontal="left" vertical="center"/>
    </xf>
    <xf numFmtId="0" fontId="23" fillId="0" borderId="11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64" fontId="23" fillId="0" borderId="4" xfId="0" applyNumberFormat="1" applyFont="1" applyBorder="1" applyAlignment="1">
      <alignment horizontal="center" vertical="center"/>
    </xf>
    <xf numFmtId="0" fontId="23" fillId="0" borderId="0" xfId="0" applyFont="1"/>
    <xf numFmtId="0" fontId="25" fillId="0" borderId="0" xfId="0" applyFont="1" applyBorder="1"/>
    <xf numFmtId="0" fontId="27" fillId="0" borderId="1" xfId="0" applyFont="1" applyBorder="1"/>
    <xf numFmtId="0" fontId="27" fillId="0" borderId="0" xfId="0" applyFont="1" applyBorder="1"/>
    <xf numFmtId="164" fontId="27" fillId="0" borderId="0" xfId="0" applyNumberFormat="1" applyFont="1" applyBorder="1"/>
    <xf numFmtId="0" fontId="27" fillId="0" borderId="2" xfId="0" applyFont="1" applyBorder="1"/>
    <xf numFmtId="164" fontId="27" fillId="0" borderId="0" xfId="0" applyNumberFormat="1" applyFont="1"/>
    <xf numFmtId="0" fontId="24" fillId="2" borderId="16" xfId="0" applyFont="1" applyFill="1" applyBorder="1"/>
    <xf numFmtId="0" fontId="24" fillId="2" borderId="15" xfId="0" applyFont="1" applyFill="1" applyBorder="1"/>
    <xf numFmtId="0" fontId="24" fillId="2" borderId="17" xfId="0" applyFont="1" applyFill="1" applyBorder="1"/>
    <xf numFmtId="0" fontId="24" fillId="0" borderId="15" xfId="0" applyFont="1" applyBorder="1"/>
    <xf numFmtId="0" fontId="26" fillId="2" borderId="15" xfId="0" applyFont="1" applyFill="1" applyBorder="1"/>
    <xf numFmtId="0" fontId="28" fillId="0" borderId="15" xfId="0" applyFont="1" applyBorder="1" applyAlignment="1">
      <alignment vertical="top" wrapText="1"/>
    </xf>
    <xf numFmtId="0" fontId="23" fillId="2" borderId="16" xfId="0" applyFont="1" applyFill="1" applyBorder="1"/>
    <xf numFmtId="0" fontId="25" fillId="0" borderId="15" xfId="0" applyFont="1" applyBorder="1"/>
    <xf numFmtId="0" fontId="22" fillId="2" borderId="18" xfId="0" applyFont="1" applyFill="1" applyBorder="1"/>
    <xf numFmtId="0" fontId="4" fillId="2" borderId="20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27" fillId="0" borderId="18" xfId="0" applyFont="1" applyBorder="1"/>
    <xf numFmtId="0" fontId="27" fillId="0" borderId="16" xfId="0" applyFont="1" applyBorder="1"/>
    <xf numFmtId="0" fontId="27" fillId="0" borderId="15" xfId="0" applyFont="1" applyBorder="1"/>
    <xf numFmtId="0" fontId="2" fillId="0" borderId="15" xfId="0" applyFont="1" applyBorder="1"/>
    <xf numFmtId="0" fontId="2" fillId="0" borderId="17" xfId="0" applyFont="1" applyBorder="1"/>
    <xf numFmtId="0" fontId="2" fillId="0" borderId="25" xfId="0" applyFont="1" applyBorder="1"/>
    <xf numFmtId="0" fontId="2" fillId="0" borderId="24" xfId="0" applyFont="1" applyBorder="1"/>
    <xf numFmtId="0" fontId="27" fillId="0" borderId="19" xfId="0" applyFont="1" applyBorder="1"/>
    <xf numFmtId="0" fontId="27" fillId="0" borderId="26" xfId="0" applyFont="1" applyBorder="1"/>
    <xf numFmtId="0" fontId="25" fillId="0" borderId="23" xfId="0" applyFont="1" applyBorder="1"/>
    <xf numFmtId="0" fontId="25" fillId="0" borderId="18" xfId="0" applyFont="1" applyBorder="1"/>
    <xf numFmtId="0" fontId="21" fillId="2" borderId="15" xfId="0" applyFont="1" applyFill="1" applyBorder="1"/>
    <xf numFmtId="0" fontId="21" fillId="0" borderId="15" xfId="0" applyFont="1" applyBorder="1"/>
    <xf numFmtId="0" fontId="21" fillId="2" borderId="0" xfId="0" applyFont="1" applyFill="1" applyBorder="1"/>
    <xf numFmtId="0" fontId="4" fillId="0" borderId="0" xfId="0" applyFont="1" applyBorder="1"/>
    <xf numFmtId="0" fontId="29" fillId="2" borderId="17" xfId="0" applyFont="1" applyFill="1" applyBorder="1" applyAlignment="1"/>
    <xf numFmtId="0" fontId="25" fillId="2" borderId="0" xfId="0" applyFont="1" applyFill="1" applyBorder="1"/>
    <xf numFmtId="0" fontId="21" fillId="0" borderId="0" xfId="0" applyFont="1" applyBorder="1"/>
    <xf numFmtId="0" fontId="21" fillId="0" borderId="0" xfId="0" quotePrefix="1" applyFont="1" applyBorder="1"/>
    <xf numFmtId="0" fontId="21" fillId="2" borderId="0" xfId="0" applyFont="1" applyFill="1" applyBorder="1" applyAlignment="1"/>
    <xf numFmtId="0" fontId="21" fillId="0" borderId="4" xfId="0" applyFont="1" applyBorder="1"/>
    <xf numFmtId="0" fontId="8" fillId="2" borderId="0" xfId="0" quotePrefix="1" applyFont="1" applyFill="1" applyBorder="1"/>
    <xf numFmtId="0" fontId="7" fillId="0" borderId="0" xfId="0" quotePrefix="1" applyFont="1" applyBorder="1"/>
    <xf numFmtId="0" fontId="7" fillId="2" borderId="0" xfId="0" quotePrefix="1" applyFont="1" applyFill="1" applyBorder="1"/>
    <xf numFmtId="0" fontId="4" fillId="2" borderId="0" xfId="0" quotePrefix="1" applyFont="1" applyFill="1" applyBorder="1" applyAlignment="1"/>
    <xf numFmtId="0" fontId="5" fillId="2" borderId="6" xfId="0" quotePrefix="1" applyFont="1" applyFill="1" applyBorder="1"/>
    <xf numFmtId="0" fontId="11" fillId="2" borderId="0" xfId="0" quotePrefix="1" applyFont="1" applyFill="1" applyBorder="1"/>
    <xf numFmtId="164" fontId="17" fillId="0" borderId="0" xfId="0" quotePrefix="1" applyNumberFormat="1" applyFont="1" applyBorder="1" applyAlignment="1">
      <alignment horizontal="right"/>
    </xf>
    <xf numFmtId="0" fontId="17" fillId="0" borderId="0" xfId="0" quotePrefix="1" applyFont="1" applyBorder="1"/>
    <xf numFmtId="0" fontId="4" fillId="2" borderId="6" xfId="0" applyFont="1" applyFill="1" applyBorder="1" applyAlignment="1"/>
    <xf numFmtId="0" fontId="4" fillId="2" borderId="6" xfId="0" applyFont="1" applyFill="1" applyBorder="1"/>
    <xf numFmtId="0" fontId="4" fillId="2" borderId="4" xfId="0" quotePrefix="1" applyFont="1" applyFill="1" applyBorder="1" applyAlignment="1"/>
    <xf numFmtId="0" fontId="11" fillId="2" borderId="6" xfId="0" applyFont="1" applyFill="1" applyBorder="1"/>
    <xf numFmtId="0" fontId="11" fillId="2" borderId="6" xfId="0" quotePrefix="1" applyFont="1" applyFill="1" applyBorder="1"/>
    <xf numFmtId="0" fontId="0" fillId="0" borderId="13" xfId="0" applyBorder="1"/>
    <xf numFmtId="0" fontId="4" fillId="2" borderId="4" xfId="0" applyFont="1" applyFill="1" applyBorder="1" applyAlignment="1"/>
    <xf numFmtId="0" fontId="1" fillId="2" borderId="4" xfId="0" applyFont="1" applyFill="1" applyBorder="1"/>
    <xf numFmtId="164" fontId="5" fillId="2" borderId="7" xfId="0" applyNumberFormat="1" applyFont="1" applyFill="1" applyBorder="1"/>
    <xf numFmtId="0" fontId="11" fillId="2" borderId="6" xfId="0" quotePrefix="1" applyFont="1" applyFill="1" applyBorder="1" applyAlignment="1"/>
    <xf numFmtId="0" fontId="11" fillId="2" borderId="0" xfId="0" quotePrefix="1" applyFont="1" applyFill="1" applyBorder="1" applyAlignment="1"/>
    <xf numFmtId="0" fontId="30" fillId="0" borderId="0" xfId="0" quotePrefix="1" applyFont="1"/>
    <xf numFmtId="0" fontId="1" fillId="2" borderId="0" xfId="0" applyFont="1" applyFill="1" applyBorder="1" applyAlignment="1">
      <alignment horizontal="left"/>
    </xf>
    <xf numFmtId="0" fontId="11" fillId="2" borderId="7" xfId="0" quotePrefix="1" applyFont="1" applyFill="1" applyBorder="1"/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right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4" fillId="2" borderId="7" xfId="0" quotePrefix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12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4" fillId="2" borderId="0" xfId="0" quotePrefix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35</xdr:row>
      <xdr:rowOff>47625</xdr:rowOff>
    </xdr:from>
    <xdr:to>
      <xdr:col>22</xdr:col>
      <xdr:colOff>19050</xdr:colOff>
      <xdr:row>39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6924675"/>
          <a:ext cx="22479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10</xdr:row>
      <xdr:rowOff>123825</xdr:rowOff>
    </xdr:from>
    <xdr:to>
      <xdr:col>16</xdr:col>
      <xdr:colOff>25692</xdr:colOff>
      <xdr:row>23</xdr:row>
      <xdr:rowOff>333375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1475" y="1895475"/>
          <a:ext cx="4435767" cy="2809875"/>
        </a:xfrm>
        <a:prstGeom prst="rect">
          <a:avLst/>
        </a:prstGeom>
      </xdr:spPr>
    </xdr:pic>
    <xdr:clientData/>
  </xdr:twoCellAnchor>
  <xdr:oneCellAnchor>
    <xdr:from>
      <xdr:col>19</xdr:col>
      <xdr:colOff>206444</xdr:colOff>
      <xdr:row>39</xdr:row>
      <xdr:rowOff>112211</xdr:rowOff>
    </xdr:from>
    <xdr:ext cx="2565331" cy="446212"/>
    <xdr:sp macro="" textlink="">
      <xdr:nvSpPr>
        <xdr:cNvPr id="7" name="Rectangle 6"/>
        <xdr:cNvSpPr/>
      </xdr:nvSpPr>
      <xdr:spPr>
        <a:xfrm>
          <a:off x="10331519" y="7656011"/>
          <a:ext cx="2565331" cy="446212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sz="2400" b="1" cap="none" spc="50">
              <a:ln w="11430"/>
              <a:solidFill>
                <a:srgbClr val="002060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Arial" pitchFamily="34" charset="0"/>
              <a:cs typeface="Arial" pitchFamily="34" charset="0"/>
            </a:rPr>
            <a:t>SURRENDER</a:t>
          </a:r>
          <a:endParaRPr lang="en-US" sz="2400" b="1" cap="none" spc="50" baseline="0">
            <a:ln w="11430"/>
            <a:solidFill>
              <a:srgbClr val="002060"/>
            </a:soli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oneCellAnchor>
  <xdr:twoCellAnchor editAs="oneCell">
    <xdr:from>
      <xdr:col>17</xdr:col>
      <xdr:colOff>97155</xdr:colOff>
      <xdr:row>71</xdr:row>
      <xdr:rowOff>137159</xdr:rowOff>
    </xdr:from>
    <xdr:to>
      <xdr:col>21</xdr:col>
      <xdr:colOff>338138</xdr:colOff>
      <xdr:row>75</xdr:row>
      <xdr:rowOff>603884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03030" y="13148309"/>
          <a:ext cx="2679383" cy="923925"/>
        </a:xfrm>
        <a:prstGeom prst="rect">
          <a:avLst/>
        </a:prstGeom>
      </xdr:spPr>
    </xdr:pic>
    <xdr:clientData/>
  </xdr:twoCellAnchor>
  <xdr:oneCellAnchor>
    <xdr:from>
      <xdr:col>19</xdr:col>
      <xdr:colOff>358844</xdr:colOff>
      <xdr:row>40</xdr:row>
      <xdr:rowOff>102686</xdr:rowOff>
    </xdr:from>
    <xdr:ext cx="2565331" cy="446212"/>
    <xdr:sp macro="" textlink="">
      <xdr:nvSpPr>
        <xdr:cNvPr id="5" name="Rectangle 4"/>
        <xdr:cNvSpPr/>
      </xdr:nvSpPr>
      <xdr:spPr>
        <a:xfrm>
          <a:off x="10483919" y="7808411"/>
          <a:ext cx="2565331" cy="446212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sz="2400" b="1" cap="none" spc="50">
              <a:ln w="11430"/>
              <a:solidFill>
                <a:srgbClr val="002060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Arial" pitchFamily="34" charset="0"/>
              <a:cs typeface="Arial" pitchFamily="34" charset="0"/>
            </a:rPr>
            <a:t>SURRENDER</a:t>
          </a:r>
          <a:endParaRPr lang="en-US" sz="2400" b="1" cap="none" spc="50" baseline="0">
            <a:ln w="11430"/>
            <a:solidFill>
              <a:srgbClr val="002060"/>
            </a:soli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13</xdr:col>
      <xdr:colOff>161925</xdr:colOff>
      <xdr:row>40</xdr:row>
      <xdr:rowOff>133350</xdr:rowOff>
    </xdr:from>
    <xdr:ext cx="2565331" cy="446212"/>
    <xdr:sp macro="" textlink="">
      <xdr:nvSpPr>
        <xdr:cNvPr id="6" name="Rectangle 5"/>
        <xdr:cNvSpPr/>
      </xdr:nvSpPr>
      <xdr:spPr>
        <a:xfrm>
          <a:off x="6467475" y="7839075"/>
          <a:ext cx="2565331" cy="446212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sz="2400" b="1" cap="none" spc="50">
              <a:ln w="11430"/>
              <a:solidFill>
                <a:srgbClr val="002060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Arial" pitchFamily="34" charset="0"/>
              <a:cs typeface="Arial" pitchFamily="34" charset="0"/>
            </a:rPr>
            <a:t>DRAFT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35</xdr:row>
      <xdr:rowOff>47625</xdr:rowOff>
    </xdr:from>
    <xdr:to>
      <xdr:col>22</xdr:col>
      <xdr:colOff>19050</xdr:colOff>
      <xdr:row>39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6924675"/>
          <a:ext cx="22479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447675</xdr:colOff>
      <xdr:row>48</xdr:row>
      <xdr:rowOff>104775</xdr:rowOff>
    </xdr:from>
    <xdr:to>
      <xdr:col>18</xdr:col>
      <xdr:colOff>76200</xdr:colOff>
      <xdr:row>50</xdr:row>
      <xdr:rowOff>142875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9086850"/>
          <a:ext cx="12954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%20BILL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 FORM "/>
      <sheetName val="HBL SURRENDER "/>
      <sheetName val="MBL"/>
      <sheetName val="HBL ORIGINAL"/>
    </sheetNames>
    <sheetDataSet>
      <sheetData sheetId="0" refreshError="1">
        <row r="27">
          <cell r="E27" t="str">
            <v xml:space="preserve">CAI LAI </v>
          </cell>
        </row>
        <row r="29">
          <cell r="K29" t="str">
            <v>NORTH MANILA , PHILIPPINES</v>
          </cell>
        </row>
        <row r="33">
          <cell r="A33" t="str">
            <v>CY/CY</v>
          </cell>
        </row>
      </sheetData>
      <sheetData sheetId="1" refreshError="1">
        <row r="31">
          <cell r="G31" t="str">
            <v>13 PALLETS</v>
          </cell>
        </row>
        <row r="32">
          <cell r="I32" t="str">
            <v>SEALED BY SHIPPER</v>
          </cell>
        </row>
        <row r="33">
          <cell r="I33" t="str">
            <v>SAID TO CONTAIN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85"/>
  <sheetViews>
    <sheetView showGridLines="0" tabSelected="1" topLeftCell="A20" workbookViewId="0">
      <selection activeCell="P34" sqref="P34"/>
    </sheetView>
  </sheetViews>
  <sheetFormatPr defaultColWidth="9.140625" defaultRowHeight="9" x14ac:dyDescent="0.15"/>
  <cols>
    <col min="1" max="1" width="2.7109375" style="10" customWidth="1"/>
    <col min="2" max="2" width="6.7109375" style="10" customWidth="1"/>
    <col min="3" max="3" width="6.28515625" style="10" customWidth="1"/>
    <col min="4" max="4" width="11.5703125" style="10" customWidth="1"/>
    <col min="5" max="5" width="6.5703125" style="10" customWidth="1"/>
    <col min="6" max="6" width="5.42578125" style="10" customWidth="1"/>
    <col min="7" max="7" width="9.28515625" style="10" customWidth="1"/>
    <col min="8" max="8" width="9.42578125" style="10" customWidth="1"/>
    <col min="9" max="9" width="6.28515625" style="10" customWidth="1"/>
    <col min="10" max="10" width="0.7109375" style="10" customWidth="1"/>
    <col min="11" max="11" width="7.5703125" style="10" customWidth="1"/>
    <col min="12" max="12" width="8.5703125" style="10" customWidth="1"/>
    <col min="13" max="13" width="10.7109375" style="10" customWidth="1"/>
    <col min="14" max="14" width="7.7109375" style="10" customWidth="1"/>
    <col min="15" max="15" width="3.28515625" style="10" customWidth="1"/>
    <col min="16" max="16" width="14.28515625" style="10" customWidth="1"/>
    <col min="17" max="17" width="15.85546875" style="76" customWidth="1"/>
    <col min="18" max="16384" width="9.140625" style="10"/>
  </cols>
  <sheetData>
    <row r="1" spans="1:17" s="3" customFormat="1" ht="11.2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s="3" customFormat="1" ht="11.25" customHeight="1" x14ac:dyDescent="0.2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"/>
      <c r="M2" s="4"/>
      <c r="N2" s="4"/>
      <c r="O2" s="1"/>
      <c r="P2" s="1"/>
      <c r="Q2" s="2"/>
    </row>
    <row r="3" spans="1:17" s="3" customFormat="1" ht="11.25" customHeight="1" x14ac:dyDescent="0.15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"/>
      <c r="M3" s="1"/>
      <c r="N3" s="1"/>
      <c r="O3" s="1"/>
      <c r="P3" s="1"/>
      <c r="Q3" s="2"/>
    </row>
    <row r="4" spans="1:17" s="3" customFormat="1" ht="11.25" customHeight="1" x14ac:dyDescent="0.15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"/>
      <c r="M4" s="1"/>
      <c r="N4" s="1"/>
      <c r="O4" s="1"/>
      <c r="P4" s="1"/>
      <c r="Q4" s="2"/>
    </row>
    <row r="5" spans="1:17" ht="11.25" customHeight="1" x14ac:dyDescent="0.2">
      <c r="A5" s="5" t="s">
        <v>0</v>
      </c>
      <c r="B5" s="5"/>
      <c r="C5" s="5"/>
      <c r="D5" s="5"/>
      <c r="E5" s="5"/>
      <c r="F5" s="5"/>
      <c r="G5" s="5"/>
      <c r="H5" s="5"/>
      <c r="I5" s="5"/>
      <c r="J5" s="6"/>
      <c r="K5" s="7"/>
      <c r="L5" s="7"/>
      <c r="M5" s="8"/>
      <c r="N5" s="8"/>
      <c r="O5" s="8"/>
      <c r="P5" s="8"/>
      <c r="Q5" s="9"/>
    </row>
    <row r="6" spans="1:17" ht="15.75" customHeight="1" x14ac:dyDescent="0.2">
      <c r="A6" s="11"/>
      <c r="B6" s="163" t="s">
        <v>39</v>
      </c>
      <c r="C6" s="12"/>
      <c r="D6" s="12"/>
      <c r="E6" s="12"/>
      <c r="F6" s="12"/>
      <c r="G6" s="12"/>
      <c r="H6" s="12"/>
      <c r="I6" s="13"/>
      <c r="J6" s="12"/>
      <c r="K6" s="14"/>
      <c r="L6" s="14"/>
      <c r="M6" s="199"/>
      <c r="N6" s="199"/>
      <c r="O6" s="199"/>
      <c r="P6" s="199"/>
      <c r="Q6" s="15"/>
    </row>
    <row r="7" spans="1:17" ht="15.75" customHeight="1" x14ac:dyDescent="0.2">
      <c r="B7" s="163" t="s">
        <v>50</v>
      </c>
      <c r="D7" s="16"/>
      <c r="G7" s="12"/>
      <c r="H7" s="12"/>
      <c r="I7" s="13"/>
      <c r="J7" s="12"/>
      <c r="K7" s="14"/>
      <c r="L7" s="14"/>
      <c r="M7" s="12"/>
      <c r="N7" s="12"/>
      <c r="O7" s="12"/>
      <c r="P7" s="12"/>
      <c r="Q7" s="15"/>
    </row>
    <row r="8" spans="1:17" ht="15.75" customHeight="1" x14ac:dyDescent="0.2">
      <c r="B8" s="163" t="s">
        <v>40</v>
      </c>
      <c r="D8" s="16"/>
      <c r="F8" s="16"/>
      <c r="G8" s="12"/>
      <c r="H8" s="12"/>
      <c r="I8" s="13"/>
      <c r="J8" s="12"/>
      <c r="K8" s="14"/>
      <c r="L8" s="17" t="s">
        <v>1</v>
      </c>
      <c r="M8" s="200" t="s">
        <v>80</v>
      </c>
      <c r="N8" s="200"/>
      <c r="O8" s="200"/>
      <c r="P8" s="200"/>
      <c r="Q8" s="15"/>
    </row>
    <row r="9" spans="1:17" ht="15.75" customHeight="1" x14ac:dyDescent="0.2">
      <c r="B9" s="163" t="s">
        <v>41</v>
      </c>
      <c r="D9" s="16"/>
      <c r="F9" s="16"/>
      <c r="G9" s="12"/>
      <c r="H9" s="12"/>
      <c r="I9" s="13"/>
      <c r="J9" s="12"/>
      <c r="K9" s="14"/>
      <c r="L9" s="14"/>
      <c r="M9" s="18"/>
      <c r="N9" s="18"/>
      <c r="O9" s="18"/>
      <c r="P9" s="18"/>
      <c r="Q9" s="15"/>
    </row>
    <row r="10" spans="1:17" ht="15.75" customHeight="1" x14ac:dyDescent="0.2">
      <c r="A10" s="19" t="s">
        <v>2</v>
      </c>
      <c r="B10" s="163" t="s">
        <v>42</v>
      </c>
      <c r="C10" s="12"/>
      <c r="G10" s="12"/>
      <c r="H10" s="12"/>
      <c r="I10" s="13"/>
      <c r="J10" s="12"/>
      <c r="K10" s="14"/>
      <c r="L10" s="14"/>
      <c r="M10" s="18"/>
      <c r="N10" s="18"/>
      <c r="O10" s="18"/>
      <c r="P10" s="18"/>
      <c r="Q10" s="15"/>
    </row>
    <row r="11" spans="1:17" ht="15.75" customHeight="1" x14ac:dyDescent="0.2">
      <c r="A11" s="20"/>
      <c r="B11" s="20"/>
      <c r="C11" s="20"/>
      <c r="D11" s="20"/>
      <c r="E11" s="20"/>
      <c r="F11" s="20"/>
      <c r="G11" s="20"/>
      <c r="H11" s="20"/>
      <c r="I11" s="21"/>
      <c r="J11" s="20"/>
      <c r="K11" s="22"/>
      <c r="L11" s="22"/>
      <c r="M11" s="20"/>
      <c r="N11" s="20"/>
      <c r="O11" s="20"/>
      <c r="P11" s="20"/>
      <c r="Q11" s="23"/>
    </row>
    <row r="12" spans="1:17" ht="15.75" customHeight="1" x14ac:dyDescent="0.2">
      <c r="A12" s="5" t="s">
        <v>3</v>
      </c>
      <c r="B12" s="5"/>
      <c r="C12" s="5"/>
      <c r="D12" s="5"/>
      <c r="E12" s="5"/>
      <c r="F12" s="5"/>
      <c r="G12" s="12"/>
      <c r="H12" s="12"/>
      <c r="I12" s="12"/>
      <c r="J12" s="24"/>
      <c r="K12" s="14"/>
      <c r="L12" s="14"/>
      <c r="M12" s="12"/>
      <c r="N12" s="12"/>
      <c r="O12" s="12"/>
      <c r="P12" s="12"/>
      <c r="Q12" s="15"/>
    </row>
    <row r="13" spans="1:17" ht="15.75" customHeight="1" x14ac:dyDescent="0.2">
      <c r="A13" s="11"/>
      <c r="B13" s="164" t="s">
        <v>43</v>
      </c>
      <c r="C13" s="12"/>
      <c r="D13" s="12"/>
      <c r="E13" s="12"/>
      <c r="F13" s="12"/>
      <c r="G13" s="12"/>
      <c r="H13" s="12"/>
      <c r="I13" s="12"/>
      <c r="J13" s="24"/>
      <c r="K13" s="14"/>
      <c r="L13" s="14"/>
      <c r="M13" s="12"/>
      <c r="N13" s="12"/>
      <c r="O13" s="12"/>
      <c r="P13" s="12"/>
      <c r="Q13" s="15"/>
    </row>
    <row r="14" spans="1:17" ht="15.75" customHeight="1" x14ac:dyDescent="0.2">
      <c r="A14" s="12"/>
      <c r="B14" s="164" t="s">
        <v>51</v>
      </c>
      <c r="D14" s="12"/>
      <c r="E14" s="12"/>
      <c r="G14" s="12"/>
      <c r="H14" s="12"/>
      <c r="I14" s="12"/>
      <c r="J14" s="24"/>
      <c r="K14" s="14"/>
      <c r="L14" s="14"/>
      <c r="M14" s="12"/>
      <c r="N14" s="12"/>
      <c r="O14" s="12"/>
      <c r="P14" s="12"/>
      <c r="Q14" s="15"/>
    </row>
    <row r="15" spans="1:17" ht="15.75" customHeight="1" x14ac:dyDescent="0.2">
      <c r="A15" s="12"/>
      <c r="B15" s="164" t="s">
        <v>52</v>
      </c>
      <c r="D15" s="12"/>
      <c r="G15" s="12"/>
      <c r="H15" s="12"/>
      <c r="I15" s="12"/>
      <c r="J15" s="24"/>
      <c r="K15" s="14"/>
      <c r="L15" s="14"/>
      <c r="M15" s="12"/>
      <c r="N15" s="12"/>
      <c r="O15" s="12"/>
      <c r="P15" s="12"/>
      <c r="Q15" s="15"/>
    </row>
    <row r="16" spans="1:17" ht="15.75" customHeight="1" x14ac:dyDescent="0.2">
      <c r="A16" s="12"/>
      <c r="B16" s="164" t="s">
        <v>53</v>
      </c>
      <c r="D16" s="12"/>
      <c r="E16" s="12"/>
      <c r="G16" s="12"/>
      <c r="H16" s="12"/>
      <c r="I16" s="12"/>
      <c r="J16" s="24"/>
      <c r="K16" s="14"/>
      <c r="L16" s="14"/>
      <c r="M16" s="12"/>
      <c r="N16" s="12"/>
      <c r="O16" s="14"/>
      <c r="P16" s="14"/>
      <c r="Q16" s="15"/>
    </row>
    <row r="17" spans="1:17" ht="15.75" customHeight="1" x14ac:dyDescent="0.2">
      <c r="A17" s="12"/>
      <c r="B17" s="164" t="s">
        <v>54</v>
      </c>
      <c r="D17" s="12"/>
      <c r="E17" s="12"/>
      <c r="G17" s="12"/>
      <c r="H17" s="12"/>
      <c r="I17" s="12"/>
      <c r="J17" s="24"/>
      <c r="K17" s="14"/>
      <c r="L17" s="14"/>
      <c r="M17" s="12"/>
      <c r="N17" s="12"/>
      <c r="O17" s="12"/>
      <c r="P17" s="12"/>
      <c r="Q17" s="15"/>
    </row>
    <row r="18" spans="1:17" ht="15.75" customHeight="1" x14ac:dyDescent="0.2">
      <c r="A18" s="20"/>
      <c r="B18" s="164" t="s">
        <v>55</v>
      </c>
      <c r="C18" s="20"/>
      <c r="D18" s="20"/>
      <c r="E18" s="20"/>
      <c r="F18" s="20"/>
      <c r="G18" s="20"/>
      <c r="H18" s="20"/>
      <c r="I18" s="20"/>
      <c r="J18" s="24"/>
      <c r="K18" s="14"/>
      <c r="L18" s="14"/>
      <c r="M18" s="12"/>
      <c r="N18" s="12"/>
      <c r="O18" s="12"/>
      <c r="P18" s="12"/>
      <c r="Q18" s="15"/>
    </row>
    <row r="19" spans="1:17" ht="15.75" customHeight="1" x14ac:dyDescent="0.2">
      <c r="A19" s="5" t="s">
        <v>4</v>
      </c>
      <c r="B19" s="5"/>
      <c r="C19" s="5"/>
      <c r="D19" s="5"/>
      <c r="E19" s="5"/>
      <c r="F19" s="5"/>
      <c r="G19" s="5"/>
      <c r="H19" s="5"/>
      <c r="I19" s="5"/>
      <c r="J19" s="24"/>
      <c r="K19" s="26"/>
      <c r="L19" s="14"/>
      <c r="M19" s="12"/>
      <c r="N19" s="12"/>
      <c r="O19" s="12"/>
      <c r="P19" s="12"/>
      <c r="Q19" s="15"/>
    </row>
    <row r="20" spans="1:17" ht="15.75" customHeight="1" x14ac:dyDescent="0.2">
      <c r="A20" s="27" t="s">
        <v>5</v>
      </c>
      <c r="B20" s="27"/>
      <c r="C20" s="12"/>
      <c r="D20" s="12"/>
      <c r="E20" s="12"/>
      <c r="F20" s="12"/>
      <c r="G20" s="12"/>
      <c r="H20" s="12"/>
      <c r="I20" s="12"/>
      <c r="J20" s="24"/>
      <c r="K20" s="14"/>
      <c r="L20" s="14"/>
      <c r="M20" s="12"/>
      <c r="N20" s="12"/>
      <c r="O20" s="12"/>
      <c r="P20" s="12"/>
      <c r="Q20" s="15"/>
    </row>
    <row r="21" spans="1:17" ht="15.75" customHeight="1" x14ac:dyDescent="0.35">
      <c r="A21" s="28" t="s">
        <v>2</v>
      </c>
      <c r="B21" s="28"/>
      <c r="C21" s="12"/>
      <c r="D21" s="12"/>
      <c r="E21" s="12"/>
      <c r="F21" s="12"/>
      <c r="G21" s="12"/>
      <c r="H21" s="12"/>
      <c r="I21" s="12"/>
      <c r="J21" s="24"/>
      <c r="K21" s="201"/>
      <c r="L21" s="201"/>
      <c r="M21" s="201"/>
      <c r="N21" s="201"/>
      <c r="O21" s="201"/>
      <c r="P21" s="29"/>
      <c r="Q21" s="15"/>
    </row>
    <row r="22" spans="1:17" ht="15.75" customHeight="1" x14ac:dyDescent="0.35">
      <c r="A22" s="28"/>
      <c r="B22" s="28"/>
      <c r="C22" s="12"/>
      <c r="D22" s="12"/>
      <c r="E22" s="12"/>
      <c r="F22" s="12"/>
      <c r="G22" s="12"/>
      <c r="H22" s="12"/>
      <c r="I22" s="12"/>
      <c r="J22" s="24"/>
      <c r="K22" s="201"/>
      <c r="L22" s="201"/>
      <c r="M22" s="201"/>
      <c r="N22" s="201"/>
      <c r="O22" s="201"/>
      <c r="P22" s="29"/>
      <c r="Q22" s="15"/>
    </row>
    <row r="23" spans="1:17" ht="15.75" customHeight="1" x14ac:dyDescent="0.35">
      <c r="A23" s="19" t="s">
        <v>2</v>
      </c>
      <c r="B23" s="19"/>
      <c r="C23" s="12"/>
      <c r="D23" s="12"/>
      <c r="E23" s="12"/>
      <c r="F23" s="12"/>
      <c r="G23" s="12"/>
      <c r="H23" s="12"/>
      <c r="I23" s="12"/>
      <c r="J23" s="24"/>
      <c r="K23" s="201"/>
      <c r="L23" s="201"/>
      <c r="M23" s="201"/>
      <c r="N23" s="201"/>
      <c r="O23" s="201"/>
      <c r="P23" s="29"/>
      <c r="Q23" s="15"/>
    </row>
    <row r="24" spans="1:17" ht="15.75" customHeight="1" x14ac:dyDescent="0.2">
      <c r="A24" s="19" t="s">
        <v>2</v>
      </c>
      <c r="B24" s="19"/>
      <c r="C24" s="12"/>
      <c r="D24" s="12"/>
      <c r="E24" s="12"/>
      <c r="F24" s="12"/>
      <c r="G24" s="12"/>
      <c r="H24" s="12"/>
      <c r="I24" s="12"/>
      <c r="J24" s="24"/>
      <c r="K24" s="14"/>
      <c r="L24" s="14"/>
      <c r="M24" s="12"/>
      <c r="N24" s="12"/>
      <c r="O24" s="12"/>
      <c r="P24" s="12"/>
      <c r="Q24" s="15"/>
    </row>
    <row r="25" spans="1:17" ht="29.2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24"/>
      <c r="K25" s="14"/>
      <c r="L25" s="14"/>
      <c r="M25" s="12"/>
      <c r="N25" s="12"/>
      <c r="O25" s="12"/>
      <c r="P25" s="12"/>
      <c r="Q25" s="15"/>
    </row>
    <row r="26" spans="1:17" ht="11.25" customHeight="1" x14ac:dyDescent="0.2">
      <c r="A26" s="5" t="s">
        <v>6</v>
      </c>
      <c r="B26" s="5"/>
      <c r="C26" s="5"/>
      <c r="D26" s="5"/>
      <c r="E26" s="6" t="s">
        <v>7</v>
      </c>
      <c r="F26" s="5"/>
      <c r="G26" s="5"/>
      <c r="H26" s="5"/>
      <c r="I26" s="5"/>
      <c r="J26" s="24"/>
      <c r="K26" s="14"/>
      <c r="L26" s="14"/>
      <c r="M26" s="12"/>
      <c r="N26" s="12"/>
      <c r="O26" s="12"/>
      <c r="P26" s="12"/>
      <c r="Q26" s="15"/>
    </row>
    <row r="27" spans="1:17" ht="23.25" customHeight="1" x14ac:dyDescent="0.2">
      <c r="A27" s="30" t="s">
        <v>2</v>
      </c>
      <c r="B27" s="30"/>
      <c r="C27" s="20"/>
      <c r="D27" s="21"/>
      <c r="E27" s="202" t="s">
        <v>58</v>
      </c>
      <c r="F27" s="196"/>
      <c r="G27" s="196"/>
      <c r="H27" s="196"/>
      <c r="I27" s="197"/>
      <c r="J27" s="24"/>
      <c r="K27" s="31"/>
      <c r="L27" s="31"/>
      <c r="M27" s="31"/>
      <c r="N27" s="31"/>
      <c r="O27" s="31"/>
      <c r="P27" s="31"/>
      <c r="Q27" s="32"/>
    </row>
    <row r="28" spans="1:17" ht="11.25" customHeight="1" x14ac:dyDescent="0.2">
      <c r="A28" s="5" t="s">
        <v>8</v>
      </c>
      <c r="B28" s="5"/>
      <c r="C28" s="5"/>
      <c r="D28" s="33"/>
      <c r="E28" s="6" t="s">
        <v>9</v>
      </c>
      <c r="F28" s="5"/>
      <c r="G28" s="5"/>
      <c r="H28" s="5"/>
      <c r="I28" s="5"/>
      <c r="J28" s="6"/>
      <c r="K28" s="5" t="s">
        <v>10</v>
      </c>
      <c r="L28" s="34"/>
      <c r="M28" s="34"/>
      <c r="N28" s="34"/>
      <c r="O28" s="6" t="s">
        <v>11</v>
      </c>
      <c r="P28" s="5"/>
      <c r="Q28" s="35"/>
    </row>
    <row r="29" spans="1:17" ht="25.5" customHeight="1" x14ac:dyDescent="0.2">
      <c r="A29" s="165" t="s">
        <v>68</v>
      </c>
      <c r="B29" s="11"/>
      <c r="C29" s="12"/>
      <c r="D29" s="13"/>
      <c r="E29" s="195" t="s">
        <v>69</v>
      </c>
      <c r="F29" s="196"/>
      <c r="G29" s="196"/>
      <c r="H29" s="196"/>
      <c r="I29" s="197"/>
      <c r="J29" s="36"/>
      <c r="K29" s="37" t="s">
        <v>33</v>
      </c>
      <c r="L29" s="38"/>
      <c r="M29" s="38"/>
      <c r="N29" s="38"/>
      <c r="O29" s="39" t="str">
        <f>K29</f>
        <v xml:space="preserve">MANILA, PHILIPIINES </v>
      </c>
      <c r="P29" s="37"/>
      <c r="Q29" s="40"/>
    </row>
    <row r="30" spans="1:17" ht="17.25" customHeight="1" x14ac:dyDescent="0.2">
      <c r="A30" s="185" t="s">
        <v>12</v>
      </c>
      <c r="B30" s="185"/>
      <c r="C30" s="185"/>
      <c r="D30" s="185"/>
      <c r="E30" s="185"/>
      <c r="F30" s="185"/>
      <c r="G30" s="185"/>
      <c r="H30" s="185"/>
      <c r="I30" s="186"/>
      <c r="J30" s="41"/>
      <c r="K30" s="187" t="s">
        <v>13</v>
      </c>
      <c r="L30" s="187"/>
      <c r="M30" s="187"/>
      <c r="N30" s="187"/>
      <c r="O30" s="187"/>
      <c r="P30" s="187"/>
      <c r="Q30" s="187"/>
    </row>
    <row r="31" spans="1:17" s="50" customFormat="1" ht="17.25" customHeight="1" x14ac:dyDescent="0.2">
      <c r="A31" s="42" t="s">
        <v>14</v>
      </c>
      <c r="B31" s="42"/>
      <c r="C31" s="42"/>
      <c r="D31" s="42"/>
      <c r="E31" s="42"/>
      <c r="F31" s="43" t="s">
        <v>15</v>
      </c>
      <c r="G31" s="44"/>
      <c r="H31" s="45"/>
      <c r="I31" s="188" t="s">
        <v>16</v>
      </c>
      <c r="J31" s="189"/>
      <c r="K31" s="189"/>
      <c r="L31" s="189"/>
      <c r="M31" s="189"/>
      <c r="N31" s="46"/>
      <c r="O31" s="47"/>
      <c r="P31" s="48" t="s">
        <v>17</v>
      </c>
      <c r="Q31" s="49" t="s">
        <v>18</v>
      </c>
    </row>
    <row r="32" spans="1:17" ht="12.75" customHeight="1" x14ac:dyDescent="0.2">
      <c r="A32" s="51"/>
      <c r="B32" s="51"/>
      <c r="C32" s="52"/>
      <c r="D32" s="12"/>
      <c r="E32" s="12"/>
      <c r="F32" s="12"/>
      <c r="G32" s="12"/>
      <c r="H32" s="13"/>
      <c r="I32" s="167" t="s">
        <v>35</v>
      </c>
      <c r="J32" s="12"/>
      <c r="K32" s="12"/>
      <c r="L32" s="12"/>
      <c r="M32" s="12"/>
      <c r="N32" s="12"/>
      <c r="O32" s="33"/>
      <c r="P32" s="6"/>
      <c r="Q32" s="53"/>
    </row>
    <row r="33" spans="1:17" ht="12.75" customHeight="1" x14ac:dyDescent="0.2">
      <c r="A33" s="51"/>
      <c r="B33" s="51"/>
      <c r="C33" s="52"/>
      <c r="D33" s="51"/>
      <c r="E33" s="52"/>
      <c r="F33" s="54" t="s">
        <v>70</v>
      </c>
      <c r="G33" s="12"/>
      <c r="H33" s="13"/>
      <c r="I33" s="12" t="str">
        <f>'[1]HBL SURRENDER '!I32</f>
        <v>SEALED BY SHIPPER</v>
      </c>
      <c r="J33" s="12"/>
      <c r="K33" s="12"/>
      <c r="L33" s="12"/>
      <c r="M33" s="12"/>
      <c r="N33" s="12"/>
      <c r="O33" s="55"/>
      <c r="P33" s="56" t="s">
        <v>81</v>
      </c>
      <c r="Q33" s="57" t="s">
        <v>78</v>
      </c>
    </row>
    <row r="34" spans="1:17" ht="12.75" customHeight="1" x14ac:dyDescent="0.2">
      <c r="A34" s="52" t="str">
        <f>'[1]BL FORM '!A33</f>
        <v>CY/CY</v>
      </c>
      <c r="B34" s="58"/>
      <c r="C34" s="59"/>
      <c r="D34" s="59"/>
      <c r="E34" s="59"/>
      <c r="F34" s="60"/>
      <c r="G34" s="51"/>
      <c r="H34" s="61"/>
      <c r="I34" s="12" t="str">
        <f>'[1]HBL SURRENDER '!I33</f>
        <v>SAID TO CONTAIN</v>
      </c>
      <c r="J34" s="12"/>
      <c r="K34" s="51"/>
      <c r="L34" s="12"/>
      <c r="M34" s="12"/>
      <c r="N34" s="12"/>
      <c r="O34" s="62"/>
      <c r="Q34" s="63"/>
    </row>
    <row r="35" spans="1:17" ht="12.75" customHeight="1" x14ac:dyDescent="0.2">
      <c r="A35" s="52" t="s">
        <v>79</v>
      </c>
      <c r="B35" s="64"/>
      <c r="C35" s="12"/>
      <c r="D35" s="65"/>
      <c r="E35" s="66"/>
      <c r="F35" s="67"/>
      <c r="G35" s="67"/>
      <c r="H35" s="61"/>
      <c r="I35" s="27"/>
      <c r="J35" s="12"/>
      <c r="K35" s="51"/>
      <c r="L35" s="12"/>
      <c r="M35" s="12"/>
      <c r="N35" s="12"/>
      <c r="O35" s="12"/>
      <c r="P35" s="68"/>
      <c r="Q35" s="15"/>
    </row>
    <row r="36" spans="1:17" ht="12.75" customHeight="1" x14ac:dyDescent="0.2">
      <c r="A36" s="52"/>
      <c r="B36" s="64"/>
      <c r="C36" s="12"/>
      <c r="D36" s="12"/>
      <c r="E36" s="12"/>
      <c r="F36" s="67"/>
      <c r="G36" s="67"/>
      <c r="H36" s="61"/>
      <c r="I36" s="168" t="s">
        <v>66</v>
      </c>
      <c r="J36" s="12"/>
      <c r="K36" s="69"/>
      <c r="L36" s="12"/>
      <c r="M36" s="12"/>
      <c r="N36" s="12"/>
      <c r="O36" s="70"/>
      <c r="P36" s="71"/>
      <c r="Q36" s="72"/>
    </row>
    <row r="37" spans="1:17" ht="12.75" customHeight="1" x14ac:dyDescent="0.2">
      <c r="A37" s="52"/>
      <c r="B37" s="12"/>
      <c r="C37" s="73"/>
      <c r="D37" s="51"/>
      <c r="E37" s="51"/>
      <c r="H37" s="61"/>
      <c r="I37" s="168" t="s">
        <v>70</v>
      </c>
      <c r="J37" s="51"/>
      <c r="L37" s="51"/>
      <c r="M37" s="74"/>
      <c r="N37" s="51"/>
      <c r="O37" s="51"/>
      <c r="P37" s="75"/>
    </row>
    <row r="38" spans="1:17" ht="12.75" customHeight="1" x14ac:dyDescent="0.2">
      <c r="A38" s="52" t="s">
        <v>71</v>
      </c>
      <c r="B38" s="77"/>
      <c r="C38" s="12"/>
      <c r="D38" s="67"/>
      <c r="E38" s="67"/>
      <c r="G38" s="67"/>
      <c r="H38" s="61"/>
      <c r="I38" s="168" t="s">
        <v>74</v>
      </c>
      <c r="J38" s="67"/>
      <c r="L38" s="67"/>
      <c r="M38" s="51"/>
      <c r="N38" s="51"/>
      <c r="O38" s="12"/>
      <c r="P38" s="75"/>
      <c r="Q38" s="15"/>
    </row>
    <row r="39" spans="1:17" ht="12.75" customHeight="1" x14ac:dyDescent="0.2">
      <c r="A39" s="52" t="s">
        <v>59</v>
      </c>
      <c r="C39" s="67"/>
      <c r="D39" s="67"/>
      <c r="E39" s="67"/>
      <c r="F39" s="67"/>
      <c r="G39" s="67"/>
      <c r="H39" s="61"/>
      <c r="I39" s="168" t="s">
        <v>75</v>
      </c>
      <c r="J39" s="67"/>
      <c r="K39" s="51"/>
      <c r="L39" s="67"/>
      <c r="M39" s="51"/>
      <c r="N39" s="51"/>
      <c r="O39" s="13"/>
      <c r="Q39" s="78"/>
    </row>
    <row r="40" spans="1:17" ht="12.75" customHeight="1" x14ac:dyDescent="0.2">
      <c r="A40" s="52"/>
      <c r="C40" s="67"/>
      <c r="D40" s="67"/>
      <c r="E40" s="67"/>
      <c r="F40" s="67"/>
      <c r="G40" s="67"/>
      <c r="H40" s="61"/>
      <c r="I40" s="168" t="s">
        <v>76</v>
      </c>
      <c r="J40" s="67"/>
      <c r="K40" s="51"/>
      <c r="L40" s="67"/>
      <c r="M40" s="51"/>
      <c r="N40" s="51"/>
      <c r="O40" s="13"/>
      <c r="Q40" s="78"/>
    </row>
    <row r="41" spans="1:17" ht="12.75" customHeight="1" x14ac:dyDescent="0.2">
      <c r="A41" s="166" t="s">
        <v>44</v>
      </c>
      <c r="C41" s="64"/>
      <c r="D41" s="64"/>
      <c r="E41" s="16"/>
      <c r="F41" s="16"/>
      <c r="G41" s="16"/>
      <c r="H41" s="61"/>
      <c r="I41" s="181" t="s">
        <v>67</v>
      </c>
      <c r="J41" s="16"/>
      <c r="K41" s="16"/>
      <c r="L41" s="16"/>
      <c r="M41" s="16"/>
      <c r="N41" s="16"/>
      <c r="O41" s="13"/>
      <c r="Q41" s="78"/>
    </row>
    <row r="42" spans="1:17" ht="12.75" customHeight="1" x14ac:dyDescent="0.25">
      <c r="A42" s="166" t="s">
        <v>56</v>
      </c>
      <c r="C42" s="64"/>
      <c r="D42" s="64"/>
      <c r="E42" s="12"/>
      <c r="F42" s="12"/>
      <c r="G42" s="12"/>
      <c r="H42" s="61"/>
      <c r="I42" s="168" t="s">
        <v>77</v>
      </c>
      <c r="J42" s="79"/>
      <c r="K42" s="79"/>
      <c r="L42" s="12"/>
      <c r="M42" s="12"/>
      <c r="N42" s="12"/>
      <c r="O42" s="13"/>
      <c r="P42" s="24"/>
      <c r="Q42" s="78"/>
    </row>
    <row r="43" spans="1:17" ht="12.75" customHeight="1" x14ac:dyDescent="0.25">
      <c r="A43" s="166" t="s">
        <v>43</v>
      </c>
      <c r="C43" s="64"/>
      <c r="D43" s="64"/>
      <c r="F43" s="12"/>
      <c r="G43" s="12"/>
      <c r="H43" s="51"/>
      <c r="I43" s="175"/>
      <c r="J43" s="79"/>
      <c r="K43" s="52"/>
      <c r="L43" s="67"/>
      <c r="M43" s="12"/>
      <c r="N43" s="12"/>
      <c r="O43" s="13"/>
      <c r="P43" s="24"/>
      <c r="Q43" s="78"/>
    </row>
    <row r="44" spans="1:17" ht="12.75" customHeight="1" x14ac:dyDescent="0.2">
      <c r="A44" s="166" t="s">
        <v>45</v>
      </c>
      <c r="B44" s="52"/>
      <c r="C44" s="64"/>
      <c r="D44" s="64"/>
      <c r="F44" s="12"/>
      <c r="G44" s="12"/>
      <c r="H44" s="51"/>
      <c r="I44" s="175"/>
      <c r="J44" s="12"/>
      <c r="K44" s="12"/>
      <c r="L44" s="67"/>
      <c r="M44" s="12"/>
      <c r="N44" s="12"/>
      <c r="O44" s="13"/>
      <c r="P44" s="24"/>
      <c r="Q44" s="78"/>
    </row>
    <row r="45" spans="1:17" customFormat="1" ht="12.75" customHeight="1" x14ac:dyDescent="0.2">
      <c r="A45" s="166" t="s">
        <v>72</v>
      </c>
      <c r="E45" s="10"/>
      <c r="I45" s="175"/>
      <c r="P45" s="176"/>
    </row>
    <row r="46" spans="1:17" customFormat="1" ht="12.75" customHeight="1" x14ac:dyDescent="0.2">
      <c r="A46" s="166" t="s">
        <v>66</v>
      </c>
      <c r="B46" s="10"/>
      <c r="I46" s="175"/>
      <c r="P46" s="176"/>
    </row>
    <row r="47" spans="1:17" customFormat="1" ht="12.75" customHeight="1" x14ac:dyDescent="0.2">
      <c r="A47" s="166" t="s">
        <v>73</v>
      </c>
      <c r="B47" s="10"/>
      <c r="I47" s="175" t="s">
        <v>57</v>
      </c>
      <c r="P47" s="176"/>
    </row>
    <row r="48" spans="1:17" customFormat="1" ht="12.75" customHeight="1" x14ac:dyDescent="0.25">
      <c r="A48" s="182" t="s">
        <v>2</v>
      </c>
      <c r="I48" s="175"/>
      <c r="M48" s="10"/>
      <c r="P48" s="176"/>
    </row>
    <row r="49" spans="1:17" customFormat="1" ht="12.75" customHeight="1" x14ac:dyDescent="0.2">
      <c r="A49" s="166"/>
      <c r="I49" s="175"/>
      <c r="M49" s="10"/>
      <c r="P49" s="176"/>
    </row>
    <row r="50" spans="1:17" customFormat="1" ht="12.75" customHeight="1" x14ac:dyDescent="0.2">
      <c r="A50" s="166"/>
      <c r="B50" s="10"/>
      <c r="I50" s="175"/>
      <c r="M50" s="10"/>
      <c r="P50" s="176"/>
    </row>
    <row r="51" spans="1:17" customFormat="1" ht="12.75" customHeight="1" x14ac:dyDescent="0.2">
      <c r="A51" s="166"/>
      <c r="E51" s="10"/>
      <c r="I51" s="175"/>
      <c r="M51" s="10"/>
      <c r="P51" s="176"/>
    </row>
    <row r="52" spans="1:17" ht="12.75" customHeight="1" x14ac:dyDescent="0.2">
      <c r="A52" s="166"/>
      <c r="B52" s="52"/>
      <c r="C52" s="183"/>
      <c r="D52" s="64"/>
      <c r="F52" s="12"/>
      <c r="G52" s="12"/>
      <c r="H52" s="51"/>
      <c r="I52" s="174"/>
      <c r="J52" s="12"/>
      <c r="K52" s="12"/>
      <c r="L52" s="67"/>
      <c r="M52" s="27"/>
      <c r="N52" s="12"/>
      <c r="O52" s="12"/>
      <c r="P52" s="80"/>
      <c r="Q52" s="15"/>
    </row>
    <row r="53" spans="1:17" ht="12.75" customHeight="1" x14ac:dyDescent="0.2">
      <c r="A53" s="166"/>
      <c r="C53" s="64"/>
      <c r="D53" s="64"/>
      <c r="E53" s="64"/>
      <c r="F53" s="12"/>
      <c r="G53" s="12"/>
      <c r="H53" s="12"/>
      <c r="I53" s="174"/>
      <c r="J53" s="12"/>
      <c r="K53" s="12"/>
      <c r="L53" s="67"/>
      <c r="M53" s="27"/>
      <c r="N53" s="12"/>
      <c r="O53" s="13"/>
      <c r="P53" s="24"/>
      <c r="Q53" s="78"/>
    </row>
    <row r="54" spans="1:17" ht="12.75" customHeight="1" x14ac:dyDescent="0.2">
      <c r="A54" s="166"/>
      <c r="C54" s="64"/>
      <c r="D54" s="64"/>
      <c r="F54" s="12"/>
      <c r="G54" s="12"/>
      <c r="H54" s="12"/>
      <c r="I54" s="174"/>
      <c r="J54" s="12"/>
      <c r="K54" s="12"/>
      <c r="L54" s="12"/>
      <c r="M54" s="27"/>
      <c r="N54" s="12"/>
      <c r="O54" s="13"/>
      <c r="P54" s="24"/>
      <c r="Q54" s="78"/>
    </row>
    <row r="55" spans="1:17" ht="12.75" customHeight="1" x14ac:dyDescent="0.2">
      <c r="A55" s="166"/>
      <c r="B55" s="52"/>
      <c r="C55" s="64"/>
      <c r="D55" s="64"/>
      <c r="F55" s="12"/>
      <c r="G55" s="12"/>
      <c r="H55" s="12"/>
      <c r="I55" s="174"/>
      <c r="J55" s="12"/>
      <c r="K55" s="12"/>
      <c r="L55" s="12"/>
      <c r="M55" s="27"/>
      <c r="N55" s="12"/>
      <c r="O55" s="13"/>
      <c r="P55" s="24"/>
      <c r="Q55" s="78"/>
    </row>
    <row r="56" spans="1:17" ht="12.75" customHeight="1" x14ac:dyDescent="0.2">
      <c r="A56" s="10" t="s">
        <v>34</v>
      </c>
      <c r="B56" s="52"/>
      <c r="C56" s="64"/>
      <c r="D56" s="64"/>
      <c r="F56" s="12"/>
      <c r="G56" s="12"/>
      <c r="H56" s="12"/>
      <c r="I56" s="180"/>
      <c r="J56" s="12"/>
      <c r="K56" s="12"/>
      <c r="L56" s="12"/>
      <c r="M56" s="12"/>
      <c r="N56" s="12"/>
      <c r="O56" s="13"/>
      <c r="P56" s="24"/>
      <c r="Q56" s="78"/>
    </row>
    <row r="57" spans="1:17" ht="12.75" customHeight="1" x14ac:dyDescent="0.2">
      <c r="A57" s="173"/>
      <c r="B57" s="177"/>
      <c r="C57" s="178"/>
      <c r="D57" s="178"/>
      <c r="E57" s="83"/>
      <c r="F57" s="20"/>
      <c r="G57" s="20"/>
      <c r="H57" s="20"/>
      <c r="I57" s="184"/>
      <c r="J57" s="20"/>
      <c r="K57" s="20"/>
      <c r="L57" s="20"/>
      <c r="M57" s="20"/>
      <c r="N57" s="20"/>
      <c r="O57" s="21"/>
      <c r="P57" s="36"/>
      <c r="Q57" s="179"/>
    </row>
    <row r="58" spans="1:17" ht="11.25" customHeight="1" x14ac:dyDescent="0.15">
      <c r="A58" s="51" t="s">
        <v>19</v>
      </c>
      <c r="B58" s="51"/>
      <c r="D58" s="51"/>
      <c r="E58" s="51"/>
      <c r="F58" s="51"/>
      <c r="G58" s="51"/>
      <c r="H58" s="51"/>
      <c r="I58" s="51"/>
      <c r="J58" s="51"/>
      <c r="K58" s="61"/>
      <c r="L58" s="51" t="s">
        <v>20</v>
      </c>
      <c r="M58" s="51"/>
      <c r="N58" s="51"/>
      <c r="O58" s="51"/>
      <c r="P58" s="51"/>
      <c r="Q58" s="81"/>
    </row>
    <row r="59" spans="1:17" ht="15" customHeight="1" x14ac:dyDescent="0.15">
      <c r="A59" s="170" t="s">
        <v>46</v>
      </c>
      <c r="B59" s="51"/>
      <c r="C59" s="51"/>
      <c r="D59" s="51"/>
      <c r="E59" s="51"/>
      <c r="F59" s="51"/>
      <c r="G59" s="51"/>
      <c r="H59" s="51"/>
      <c r="I59" s="51"/>
      <c r="J59" s="51"/>
      <c r="K59" s="61"/>
      <c r="L59" s="51" t="s">
        <v>21</v>
      </c>
      <c r="M59" s="51"/>
      <c r="N59" s="51"/>
      <c r="O59" s="90"/>
      <c r="P59" s="90"/>
      <c r="Q59" s="91"/>
    </row>
    <row r="60" spans="1:17" ht="15" customHeight="1" x14ac:dyDescent="0.2">
      <c r="A60" s="170" t="s">
        <v>47</v>
      </c>
      <c r="B60" s="25"/>
      <c r="C60" s="51"/>
      <c r="D60" s="51"/>
      <c r="E60" s="51"/>
      <c r="F60" s="51"/>
      <c r="G60" s="51"/>
      <c r="H60" s="51"/>
      <c r="I60" s="51"/>
      <c r="J60" s="51"/>
      <c r="K60" s="61"/>
      <c r="L60" s="51"/>
      <c r="M60" s="51"/>
      <c r="N60" s="51"/>
      <c r="O60" s="51"/>
      <c r="P60" s="51"/>
      <c r="Q60" s="81"/>
    </row>
    <row r="61" spans="1:17" ht="17.25" customHeight="1" x14ac:dyDescent="0.2">
      <c r="A61" s="170" t="s">
        <v>38</v>
      </c>
      <c r="B61" s="92"/>
      <c r="C61" s="51"/>
      <c r="D61" s="51"/>
      <c r="E61" s="51"/>
      <c r="F61" s="51"/>
      <c r="G61" s="51"/>
      <c r="H61" s="51"/>
      <c r="I61" s="51"/>
      <c r="J61" s="51"/>
      <c r="K61" s="61"/>
      <c r="L61" s="93"/>
      <c r="M61" s="83"/>
      <c r="N61" s="83"/>
      <c r="O61" s="83"/>
      <c r="P61" s="83"/>
      <c r="Q61" s="94"/>
    </row>
    <row r="62" spans="1:17" ht="15" customHeight="1" x14ac:dyDescent="0.2">
      <c r="A62" s="170" t="s">
        <v>45</v>
      </c>
      <c r="B62" s="92"/>
      <c r="C62" s="51"/>
      <c r="D62" s="51"/>
      <c r="E62" s="51"/>
      <c r="F62" s="51"/>
      <c r="G62" s="51"/>
      <c r="H62" s="51"/>
      <c r="I62" s="51"/>
      <c r="J62" s="51"/>
      <c r="K62" s="61"/>
      <c r="L62" s="51" t="s">
        <v>22</v>
      </c>
      <c r="M62" s="51"/>
      <c r="N62" s="51"/>
      <c r="O62" s="51"/>
      <c r="P62" s="51"/>
      <c r="Q62" s="81"/>
    </row>
    <row r="63" spans="1:17" ht="15" customHeight="1" x14ac:dyDescent="0.2">
      <c r="A63" s="170" t="s">
        <v>48</v>
      </c>
      <c r="B63" s="92"/>
      <c r="C63" s="51"/>
      <c r="D63" s="51"/>
      <c r="E63" s="51"/>
      <c r="F63" s="51"/>
      <c r="G63" s="51"/>
      <c r="H63" s="51"/>
      <c r="I63" s="51"/>
      <c r="J63" s="51"/>
      <c r="K63" s="61"/>
      <c r="L63" s="51"/>
      <c r="M63" s="51"/>
      <c r="N63" s="51"/>
      <c r="O63" s="51"/>
      <c r="P63" s="51"/>
      <c r="Q63" s="81"/>
    </row>
    <row r="64" spans="1:17" ht="15" customHeight="1" x14ac:dyDescent="0.2">
      <c r="A64" s="170" t="s">
        <v>49</v>
      </c>
      <c r="B64" s="92"/>
      <c r="C64" s="51"/>
      <c r="D64" s="51"/>
      <c r="E64" s="51"/>
      <c r="F64" s="51"/>
      <c r="G64" s="51"/>
      <c r="H64" s="51"/>
      <c r="I64" s="51"/>
      <c r="J64" s="51"/>
      <c r="K64" s="61"/>
      <c r="L64" s="51"/>
      <c r="M64" s="51"/>
      <c r="N64" s="51"/>
    </row>
    <row r="65" spans="1:17" ht="26.25" customHeight="1" x14ac:dyDescent="0.1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5"/>
      <c r="L65" s="93"/>
      <c r="M65" s="83"/>
      <c r="N65" s="83"/>
      <c r="O65" s="83"/>
      <c r="P65" s="83"/>
      <c r="Q65" s="94"/>
    </row>
    <row r="66" spans="1:17" ht="18" customHeight="1" x14ac:dyDescent="0.15">
      <c r="A66" s="51" t="s">
        <v>23</v>
      </c>
      <c r="B66" s="51"/>
      <c r="C66" s="51"/>
      <c r="D66" s="51"/>
      <c r="F66" s="95" t="s">
        <v>24</v>
      </c>
      <c r="G66" s="89"/>
      <c r="H66" s="51"/>
      <c r="I66" s="51" t="s">
        <v>25</v>
      </c>
      <c r="J66" s="51"/>
      <c r="K66" s="61"/>
      <c r="L66" s="51" t="s">
        <v>26</v>
      </c>
      <c r="M66" s="51"/>
      <c r="N66" s="51"/>
    </row>
    <row r="67" spans="1:17" ht="11.25" customHeight="1" x14ac:dyDescent="0.15">
      <c r="A67" s="51"/>
      <c r="B67" s="51"/>
      <c r="C67" s="51"/>
      <c r="D67" s="51"/>
      <c r="E67" s="51"/>
      <c r="F67" s="96"/>
      <c r="G67" s="61"/>
      <c r="H67" s="51"/>
      <c r="I67" s="51"/>
      <c r="J67" s="51"/>
      <c r="K67" s="61"/>
      <c r="L67" s="51"/>
      <c r="M67" s="51"/>
      <c r="N67" s="51"/>
      <c r="O67" s="90" t="s">
        <v>27</v>
      </c>
      <c r="P67" s="90"/>
      <c r="Q67" s="169">
        <v>46258</v>
      </c>
    </row>
    <row r="68" spans="1:17" ht="11.25" customHeight="1" x14ac:dyDescent="0.2">
      <c r="A68" s="51"/>
      <c r="B68" s="51"/>
      <c r="C68" s="51"/>
      <c r="D68" s="51"/>
      <c r="E68" s="51"/>
      <c r="F68" s="190" t="s">
        <v>28</v>
      </c>
      <c r="G68" s="191"/>
      <c r="H68" s="192"/>
      <c r="I68" s="193"/>
      <c r="J68" s="193"/>
      <c r="K68" s="194"/>
      <c r="L68" s="51" t="s">
        <v>29</v>
      </c>
      <c r="M68" s="51"/>
      <c r="N68" s="51"/>
      <c r="O68" s="51"/>
      <c r="P68" s="51"/>
      <c r="Q68" s="81"/>
    </row>
    <row r="69" spans="1:17" ht="2.25" customHeight="1" x14ac:dyDescent="0.15">
      <c r="A69" s="51"/>
      <c r="B69" s="51"/>
      <c r="C69" s="51"/>
      <c r="D69" s="51"/>
      <c r="E69" s="51"/>
      <c r="F69" s="96"/>
      <c r="G69" s="61"/>
      <c r="H69" s="51"/>
      <c r="I69" s="51"/>
      <c r="J69" s="51"/>
      <c r="K69" s="61"/>
      <c r="L69" s="93"/>
      <c r="M69" s="83"/>
      <c r="N69" s="83"/>
      <c r="O69" s="83"/>
      <c r="P69" s="83"/>
      <c r="Q69" s="94"/>
    </row>
    <row r="70" spans="1:17" ht="11.25" customHeight="1" x14ac:dyDescent="0.15">
      <c r="A70" s="51"/>
      <c r="B70" s="51"/>
      <c r="C70" s="51"/>
      <c r="D70" s="51"/>
      <c r="E70" s="51"/>
      <c r="F70" s="96"/>
      <c r="G70" s="61"/>
      <c r="H70" s="51"/>
      <c r="I70" s="51"/>
      <c r="J70" s="51"/>
      <c r="K70" s="61"/>
      <c r="L70" s="51" t="s">
        <v>30</v>
      </c>
      <c r="M70" s="51"/>
      <c r="N70" s="51"/>
    </row>
    <row r="71" spans="1:17" ht="11.25" customHeight="1" x14ac:dyDescent="0.15">
      <c r="A71" s="51"/>
      <c r="B71" s="51"/>
      <c r="C71" s="51"/>
      <c r="D71" s="51"/>
      <c r="E71" s="51"/>
      <c r="F71" s="96"/>
      <c r="G71" s="61"/>
      <c r="H71" s="51"/>
      <c r="I71" s="51"/>
      <c r="J71" s="51"/>
      <c r="K71" s="61"/>
      <c r="L71" s="51"/>
      <c r="M71" s="51"/>
      <c r="N71" s="51"/>
    </row>
    <row r="72" spans="1:17" ht="21" customHeight="1" x14ac:dyDescent="0.15">
      <c r="A72" s="83"/>
      <c r="B72" s="83"/>
      <c r="C72" s="83"/>
      <c r="D72" s="83"/>
      <c r="E72" s="83"/>
      <c r="F72" s="93"/>
      <c r="G72" s="85"/>
      <c r="H72" s="83"/>
      <c r="I72" s="83"/>
      <c r="J72" s="83"/>
      <c r="K72" s="85"/>
      <c r="L72" s="93" t="s">
        <v>31</v>
      </c>
      <c r="M72" s="83"/>
      <c r="N72" s="83"/>
      <c r="O72" s="83"/>
      <c r="P72" s="83"/>
      <c r="Q72" s="94"/>
    </row>
    <row r="73" spans="1:17" ht="11.25" customHeight="1" x14ac:dyDescent="0.15"/>
    <row r="74" spans="1:17" ht="11.25" customHeight="1" x14ac:dyDescent="0.15"/>
    <row r="75" spans="1:17" ht="11.25" customHeight="1" x14ac:dyDescent="0.15"/>
    <row r="76" spans="1:17" ht="11.25" customHeight="1" x14ac:dyDescent="0.15"/>
    <row r="77" spans="1:17" ht="11.25" customHeight="1" x14ac:dyDescent="0.15"/>
    <row r="78" spans="1:17" ht="11.25" customHeight="1" x14ac:dyDescent="0.15"/>
    <row r="79" spans="1:17" ht="11.25" customHeight="1" x14ac:dyDescent="0.15"/>
    <row r="80" spans="1:17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</sheetData>
  <mergeCells count="11">
    <mergeCell ref="E29:I29"/>
    <mergeCell ref="A2:K4"/>
    <mergeCell ref="M6:P6"/>
    <mergeCell ref="M8:P8"/>
    <mergeCell ref="K21:O23"/>
    <mergeCell ref="E27:I27"/>
    <mergeCell ref="A30:I30"/>
    <mergeCell ref="K30:Q30"/>
    <mergeCell ref="I31:M31"/>
    <mergeCell ref="F68:G68"/>
    <mergeCell ref="H68:K68"/>
  </mergeCells>
  <pageMargins left="0.35" right="0.1" top="0" bottom="0" header="0.13" footer="0.11"/>
  <pageSetup paperSize="9" scale="8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89"/>
  <sheetViews>
    <sheetView showGridLines="0" topLeftCell="A29" zoomScaleNormal="100" workbookViewId="0">
      <selection activeCell="A34" sqref="A34"/>
    </sheetView>
  </sheetViews>
  <sheetFormatPr defaultColWidth="9.140625" defaultRowHeight="9" x14ac:dyDescent="0.15"/>
  <cols>
    <col min="1" max="1" width="2.7109375" style="10" customWidth="1"/>
    <col min="2" max="2" width="6.7109375" style="10" customWidth="1"/>
    <col min="3" max="3" width="6.28515625" style="10" customWidth="1"/>
    <col min="4" max="4" width="11.5703125" style="10" customWidth="1"/>
    <col min="5" max="5" width="6.5703125" style="10" customWidth="1"/>
    <col min="6" max="6" width="5.42578125" style="10" customWidth="1"/>
    <col min="7" max="7" width="9.28515625" style="10" customWidth="1"/>
    <col min="8" max="8" width="5.140625" style="10" customWidth="1"/>
    <col min="9" max="9" width="6.28515625" style="10" customWidth="1"/>
    <col min="10" max="10" width="7.5703125" style="137" customWidth="1"/>
    <col min="11" max="11" width="8.5703125" style="10" customWidth="1"/>
    <col min="12" max="12" width="10.7109375" style="10" customWidth="1"/>
    <col min="13" max="13" width="7.7109375" style="10" customWidth="1"/>
    <col min="14" max="14" width="2.7109375" style="10" customWidth="1"/>
    <col min="15" max="15" width="14.28515625" style="10" customWidth="1"/>
    <col min="16" max="16" width="15.85546875" style="76" customWidth="1"/>
    <col min="17" max="17" width="6.140625" style="10" customWidth="1"/>
    <col min="18" max="16384" width="9.140625" style="10"/>
  </cols>
  <sheetData>
    <row r="1" spans="1:16" s="3" customFormat="1" ht="11.2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58"/>
      <c r="K1" s="1"/>
      <c r="L1" s="1"/>
      <c r="M1" s="1"/>
      <c r="N1" s="1"/>
      <c r="O1" s="1"/>
      <c r="P1" s="2"/>
    </row>
    <row r="2" spans="1:16" s="3" customFormat="1" ht="11.25" customHeight="1" x14ac:dyDescent="0.2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"/>
      <c r="L2" s="4"/>
      <c r="M2" s="4"/>
      <c r="N2" s="1"/>
      <c r="O2" s="1"/>
      <c r="P2" s="2"/>
    </row>
    <row r="3" spans="1:16" s="3" customFormat="1" ht="11.25" customHeight="1" x14ac:dyDescent="0.15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"/>
      <c r="L3" s="1"/>
      <c r="M3" s="1"/>
      <c r="N3" s="1"/>
      <c r="O3" s="1"/>
      <c r="P3" s="2"/>
    </row>
    <row r="4" spans="1:16" s="3" customFormat="1" ht="11.25" customHeight="1" x14ac:dyDescent="0.15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"/>
      <c r="L4" s="1"/>
      <c r="M4" s="1"/>
      <c r="N4" s="1"/>
      <c r="O4" s="1"/>
      <c r="P4" s="2"/>
    </row>
    <row r="5" spans="1:16" ht="11.25" customHeight="1" x14ac:dyDescent="0.2">
      <c r="A5" s="105" t="s">
        <v>0</v>
      </c>
      <c r="B5" s="5"/>
      <c r="C5" s="5"/>
      <c r="D5" s="5"/>
      <c r="E5" s="5"/>
      <c r="F5" s="5"/>
      <c r="G5" s="5"/>
      <c r="H5" s="5"/>
      <c r="I5" s="5"/>
      <c r="J5" s="130"/>
      <c r="K5" s="7"/>
      <c r="L5" s="8"/>
      <c r="M5" s="8"/>
      <c r="N5" s="8"/>
      <c r="O5" s="8"/>
      <c r="P5" s="9"/>
    </row>
    <row r="6" spans="1:16" ht="20.25" customHeight="1" x14ac:dyDescent="0.2">
      <c r="A6" s="11"/>
      <c r="B6" s="4" t="str">
        <f>'BL FORM '!B6</f>
        <v>BAYER VIETNAM LTD.</v>
      </c>
      <c r="C6" s="12"/>
      <c r="D6" s="12"/>
      <c r="E6" s="12"/>
      <c r="F6" s="12"/>
      <c r="G6" s="12"/>
      <c r="H6" s="12"/>
      <c r="I6" s="12"/>
      <c r="J6" s="131"/>
      <c r="K6" s="101"/>
      <c r="L6" s="104" t="s">
        <v>32</v>
      </c>
      <c r="M6" s="103"/>
      <c r="N6" s="102"/>
      <c r="O6" s="102"/>
      <c r="P6" s="15"/>
    </row>
    <row r="7" spans="1:16" ht="15.75" customHeight="1" thickBot="1" x14ac:dyDescent="0.25">
      <c r="B7" s="4" t="str">
        <f>'BL FORM '!B7</f>
        <v>FOR THE ACCOUNT OF BAYER AG</v>
      </c>
      <c r="D7" s="16"/>
      <c r="E7" s="16"/>
      <c r="F7" s="16"/>
      <c r="G7" s="12"/>
      <c r="H7" s="12"/>
      <c r="I7" s="12"/>
      <c r="J7" s="131"/>
      <c r="K7" s="14"/>
      <c r="L7" s="12"/>
      <c r="M7" s="12"/>
      <c r="N7" s="12"/>
      <c r="O7" s="12"/>
      <c r="P7" s="15"/>
    </row>
    <row r="8" spans="1:16" ht="15.75" customHeight="1" thickBot="1" x14ac:dyDescent="0.25">
      <c r="A8" s="12"/>
      <c r="B8" s="4" t="str">
        <f>'BL FORM '!B8</f>
        <v>KAISER- WILHELM- ALLEE 1</v>
      </c>
      <c r="D8" s="16"/>
      <c r="E8" s="16"/>
      <c r="F8" s="16"/>
      <c r="G8" s="12"/>
      <c r="H8" s="12"/>
      <c r="I8" s="12"/>
      <c r="J8" s="131"/>
      <c r="K8" s="17" t="s">
        <v>1</v>
      </c>
      <c r="L8" s="139" t="s">
        <v>36</v>
      </c>
      <c r="M8" s="140" t="str">
        <f>'BL FORM '!M8:P8</f>
        <v>HCM-PHLPSE260824</v>
      </c>
      <c r="N8" s="140"/>
      <c r="O8" s="141"/>
      <c r="P8" s="99"/>
    </row>
    <row r="9" spans="1:16" ht="15.75" customHeight="1" x14ac:dyDescent="0.2">
      <c r="A9" s="12"/>
      <c r="B9" s="4" t="str">
        <f>'BL FORM '!B9</f>
        <v>51373 LEVERKUSEN</v>
      </c>
      <c r="C9" s="16"/>
      <c r="D9" s="16"/>
      <c r="E9" s="16"/>
      <c r="F9" s="16"/>
      <c r="G9" s="12"/>
      <c r="H9" s="12"/>
      <c r="I9" s="12"/>
      <c r="J9" s="131"/>
      <c r="K9" s="14"/>
      <c r="L9" s="18"/>
      <c r="M9" s="18"/>
      <c r="N9" s="18"/>
      <c r="O9" s="18"/>
      <c r="P9" s="15"/>
    </row>
    <row r="10" spans="1:16" ht="15.75" customHeight="1" x14ac:dyDescent="0.2">
      <c r="A10" s="20"/>
      <c r="B10" s="4" t="str">
        <f>'BL FORM '!B10</f>
        <v>GERMANY.</v>
      </c>
      <c r="C10" s="20"/>
      <c r="D10" s="20"/>
      <c r="E10" s="20"/>
      <c r="F10" s="20"/>
      <c r="G10" s="20"/>
      <c r="H10" s="20"/>
      <c r="I10" s="20"/>
      <c r="J10" s="132"/>
      <c r="K10" s="22"/>
      <c r="L10" s="20"/>
      <c r="M10" s="20"/>
      <c r="N10" s="20"/>
      <c r="O10" s="20"/>
      <c r="P10" s="23"/>
    </row>
    <row r="11" spans="1:16" ht="15.75" customHeight="1" x14ac:dyDescent="0.2">
      <c r="A11" s="105" t="s">
        <v>3</v>
      </c>
      <c r="B11" s="5"/>
      <c r="C11" s="5"/>
      <c r="D11" s="5"/>
      <c r="E11" s="5"/>
      <c r="F11" s="5"/>
      <c r="G11" s="12"/>
      <c r="H11" s="12"/>
      <c r="I11" s="12"/>
      <c r="J11" s="131"/>
      <c r="K11" s="14"/>
      <c r="L11" s="12"/>
      <c r="M11" s="12"/>
      <c r="N11" s="12"/>
      <c r="O11" s="12"/>
      <c r="P11" s="15"/>
    </row>
    <row r="12" spans="1:16" ht="15.75" customHeight="1" x14ac:dyDescent="0.2">
      <c r="A12" s="11"/>
      <c r="B12" s="25" t="str">
        <f>'BL FORM '!B13</f>
        <v>BAYER CROPSCIENCE, INC.</v>
      </c>
      <c r="C12" s="12"/>
      <c r="D12" s="12"/>
      <c r="E12" s="12"/>
      <c r="F12" s="12"/>
      <c r="G12" s="12"/>
      <c r="H12" s="12"/>
      <c r="I12" s="12"/>
      <c r="J12" s="131"/>
      <c r="K12" s="14"/>
      <c r="L12" s="12"/>
      <c r="M12" s="12"/>
      <c r="N12" s="12"/>
      <c r="O12" s="12"/>
      <c r="P12" s="15"/>
    </row>
    <row r="13" spans="1:16" ht="15.75" customHeight="1" x14ac:dyDescent="0.2">
      <c r="A13" s="12"/>
      <c r="B13" s="25" t="str">
        <f>'BL FORM '!B14</f>
        <v>8TH FLOOR, SCIENCE HUB TOWER 1,</v>
      </c>
      <c r="D13" s="12"/>
      <c r="E13" s="12"/>
      <c r="F13" s="12"/>
      <c r="G13" s="12"/>
      <c r="H13" s="12"/>
      <c r="I13" s="12"/>
      <c r="J13" s="131"/>
      <c r="K13" s="14"/>
      <c r="L13" s="12"/>
      <c r="M13" s="12"/>
      <c r="N13" s="12"/>
      <c r="O13" s="12"/>
      <c r="P13" s="15"/>
    </row>
    <row r="14" spans="1:16" ht="15.75" customHeight="1" x14ac:dyDescent="0.2">
      <c r="A14" s="12"/>
      <c r="B14" s="25" t="str">
        <f>'BL FORM '!B15</f>
        <v>CAMPUS AVENUE CORNER TURIN STREET,</v>
      </c>
      <c r="D14" s="12"/>
      <c r="E14" s="12"/>
      <c r="F14" s="12"/>
      <c r="G14" s="12"/>
      <c r="H14" s="12"/>
      <c r="I14" s="12"/>
      <c r="J14" s="131"/>
      <c r="K14" s="14"/>
      <c r="L14" s="12"/>
      <c r="M14" s="12"/>
      <c r="N14" s="12"/>
      <c r="O14" s="12"/>
      <c r="P14" s="15"/>
    </row>
    <row r="15" spans="1:16" ht="15.75" customHeight="1" x14ac:dyDescent="0.2">
      <c r="A15" s="12"/>
      <c r="B15" s="25" t="str">
        <f>'BL FORM '!B16</f>
        <v>MCKINLEY HILL CYBERPARK,</v>
      </c>
      <c r="D15" s="12"/>
      <c r="E15" s="12"/>
      <c r="F15" s="12"/>
      <c r="G15" s="12"/>
      <c r="H15" s="12"/>
      <c r="I15" s="12"/>
      <c r="J15" s="131"/>
      <c r="K15" s="14"/>
      <c r="L15" s="12"/>
      <c r="M15" s="12"/>
      <c r="N15" s="14"/>
      <c r="O15" s="14"/>
      <c r="P15" s="15"/>
    </row>
    <row r="16" spans="1:16" ht="15.75" customHeight="1" x14ac:dyDescent="0.2">
      <c r="A16" s="12"/>
      <c r="B16" s="25" t="str">
        <f>'BL FORM '!B17</f>
        <v>PINAGSAMA, TAGUIG CITY 1630, PHILIPPINES</v>
      </c>
      <c r="D16" s="12"/>
      <c r="E16" s="12"/>
      <c r="F16" s="12"/>
      <c r="G16" s="12"/>
      <c r="H16" s="12"/>
      <c r="I16" s="12"/>
      <c r="J16" s="131"/>
      <c r="K16" s="14"/>
      <c r="L16" s="12"/>
      <c r="M16" s="12"/>
      <c r="N16" s="12"/>
      <c r="O16" s="12"/>
      <c r="P16" s="15"/>
    </row>
    <row r="17" spans="1:16" ht="15.75" customHeight="1" x14ac:dyDescent="0.2">
      <c r="A17" s="20"/>
      <c r="B17" s="25" t="str">
        <f>'BL FORM '!B18</f>
        <v>TIN NUMBER: 219-883-990-00000.</v>
      </c>
      <c r="C17" s="20"/>
      <c r="D17" s="20"/>
      <c r="E17" s="20"/>
      <c r="F17" s="20"/>
      <c r="G17" s="20"/>
      <c r="H17" s="20"/>
      <c r="I17" s="20"/>
      <c r="J17" s="131"/>
      <c r="K17" s="14"/>
      <c r="L17" s="12"/>
      <c r="M17" s="12"/>
      <c r="N17" s="12"/>
      <c r="O17" s="12"/>
      <c r="P17" s="15"/>
    </row>
    <row r="18" spans="1:16" ht="15.75" customHeight="1" x14ac:dyDescent="0.2">
      <c r="A18" s="105" t="s">
        <v>4</v>
      </c>
      <c r="B18" s="5"/>
      <c r="C18" s="5"/>
      <c r="D18" s="5"/>
      <c r="E18" s="5"/>
      <c r="F18" s="5"/>
      <c r="G18" s="5"/>
      <c r="H18" s="5"/>
      <c r="I18" s="5"/>
      <c r="J18" s="133"/>
      <c r="K18" s="14"/>
      <c r="L18" s="12"/>
      <c r="M18" s="12"/>
      <c r="N18" s="12"/>
      <c r="O18" s="12"/>
      <c r="P18" s="15"/>
    </row>
    <row r="19" spans="1:16" ht="15.75" customHeight="1" x14ac:dyDescent="0.2">
      <c r="A19" s="27" t="s">
        <v>5</v>
      </c>
      <c r="B19" s="27"/>
      <c r="C19" s="12"/>
      <c r="D19" s="12"/>
      <c r="E19" s="12"/>
      <c r="F19" s="12"/>
      <c r="G19" s="12"/>
      <c r="H19" s="12"/>
      <c r="I19" s="12"/>
      <c r="J19" s="131"/>
      <c r="K19" s="14"/>
      <c r="L19" s="12"/>
      <c r="M19" s="12"/>
      <c r="N19" s="12"/>
      <c r="O19" s="12"/>
      <c r="P19" s="15"/>
    </row>
    <row r="20" spans="1:16" ht="15.75" customHeight="1" x14ac:dyDescent="0.35">
      <c r="A20" s="28" t="s">
        <v>2</v>
      </c>
      <c r="B20" s="28"/>
      <c r="C20" s="12"/>
      <c r="D20" s="12"/>
      <c r="E20" s="12"/>
      <c r="F20" s="12"/>
      <c r="G20" s="12"/>
      <c r="H20" s="12"/>
      <c r="I20" s="12"/>
      <c r="J20" s="210"/>
      <c r="K20" s="201"/>
      <c r="L20" s="201"/>
      <c r="M20" s="201"/>
      <c r="N20" s="201"/>
      <c r="O20" s="100"/>
      <c r="P20" s="15"/>
    </row>
    <row r="21" spans="1:16" ht="15.75" customHeight="1" x14ac:dyDescent="0.35">
      <c r="A21" s="28"/>
      <c r="B21" s="28"/>
      <c r="C21" s="12"/>
      <c r="D21" s="12"/>
      <c r="E21" s="12"/>
      <c r="F21" s="12"/>
      <c r="G21" s="12"/>
      <c r="H21" s="12"/>
      <c r="I21" s="12"/>
      <c r="J21" s="210"/>
      <c r="K21" s="201"/>
      <c r="L21" s="201"/>
      <c r="M21" s="201"/>
      <c r="N21" s="201"/>
      <c r="O21" s="100"/>
      <c r="P21" s="15"/>
    </row>
    <row r="22" spans="1:16" ht="15.75" customHeight="1" x14ac:dyDescent="0.35">
      <c r="A22" s="19" t="s">
        <v>2</v>
      </c>
      <c r="B22" s="19"/>
      <c r="C22" s="12"/>
      <c r="D22" s="12"/>
      <c r="E22" s="12"/>
      <c r="F22" s="12"/>
      <c r="G22" s="12"/>
      <c r="H22" s="12"/>
      <c r="I22" s="12"/>
      <c r="J22" s="210"/>
      <c r="K22" s="201"/>
      <c r="L22" s="201"/>
      <c r="M22" s="201"/>
      <c r="N22" s="201"/>
      <c r="O22" s="100"/>
      <c r="P22" s="15"/>
    </row>
    <row r="23" spans="1:16" ht="15.75" customHeight="1" x14ac:dyDescent="0.2">
      <c r="A23" s="19" t="s">
        <v>2</v>
      </c>
      <c r="B23" s="19"/>
      <c r="C23" s="12"/>
      <c r="D23" s="12"/>
      <c r="E23" s="12"/>
      <c r="F23" s="12"/>
      <c r="G23" s="12"/>
      <c r="H23" s="12"/>
      <c r="I23" s="12"/>
      <c r="J23" s="131"/>
      <c r="K23" s="14"/>
      <c r="L23" s="12"/>
      <c r="M23" s="12"/>
      <c r="N23" s="12"/>
      <c r="O23" s="12"/>
      <c r="P23" s="15"/>
    </row>
    <row r="24" spans="1:16" ht="29.2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31"/>
      <c r="K24" s="14"/>
      <c r="L24" s="12"/>
      <c r="M24" s="12"/>
      <c r="N24" s="12"/>
      <c r="O24" s="12"/>
      <c r="P24" s="15"/>
    </row>
    <row r="25" spans="1:16" s="111" customFormat="1" ht="11.25" customHeight="1" x14ac:dyDescent="0.2">
      <c r="A25" s="105" t="s">
        <v>6</v>
      </c>
      <c r="B25" s="105"/>
      <c r="C25" s="105"/>
      <c r="D25" s="105"/>
      <c r="E25" s="107" t="s">
        <v>7</v>
      </c>
      <c r="F25" s="105"/>
      <c r="G25" s="105"/>
      <c r="H25" s="105"/>
      <c r="I25" s="105"/>
      <c r="J25" s="134"/>
      <c r="K25" s="108"/>
      <c r="L25" s="109"/>
      <c r="M25" s="109"/>
      <c r="N25" s="109"/>
      <c r="O25" s="109"/>
      <c r="P25" s="110"/>
    </row>
    <row r="26" spans="1:16" ht="23.25" customHeight="1" x14ac:dyDescent="0.2">
      <c r="A26" s="30" t="s">
        <v>2</v>
      </c>
      <c r="B26" s="30"/>
      <c r="C26" s="20"/>
      <c r="D26" s="21"/>
      <c r="E26" s="202" t="str">
        <f>'BL FORM '!E27:I27</f>
        <v xml:space="preserve">HO CHI MINH VIET NAM </v>
      </c>
      <c r="F26" s="196"/>
      <c r="G26" s="196"/>
      <c r="H26" s="196"/>
      <c r="I26" s="197"/>
      <c r="J26" s="135"/>
      <c r="K26" s="31"/>
      <c r="L26" s="31"/>
      <c r="M26" s="31"/>
      <c r="N26" s="31"/>
      <c r="O26" s="31"/>
      <c r="P26" s="32"/>
    </row>
    <row r="27" spans="1:16" s="111" customFormat="1" ht="11.25" customHeight="1" x14ac:dyDescent="0.2">
      <c r="A27" s="105" t="s">
        <v>8</v>
      </c>
      <c r="B27" s="105"/>
      <c r="C27" s="105"/>
      <c r="D27" s="112"/>
      <c r="E27" s="107" t="s">
        <v>9</v>
      </c>
      <c r="F27" s="105"/>
      <c r="G27" s="105"/>
      <c r="H27" s="105"/>
      <c r="I27" s="105"/>
      <c r="J27" s="136" t="s">
        <v>10</v>
      </c>
      <c r="K27" s="113"/>
      <c r="L27" s="113"/>
      <c r="M27" s="113"/>
      <c r="N27" s="107" t="s">
        <v>11</v>
      </c>
      <c r="O27" s="105"/>
      <c r="P27" s="114"/>
    </row>
    <row r="28" spans="1:16" ht="25.5" customHeight="1" x14ac:dyDescent="0.2">
      <c r="A28" s="11" t="str">
        <f>'BL FORM '!A29</f>
        <v>SONGA SUCCESS  1054N</v>
      </c>
      <c r="B28" s="11"/>
      <c r="C28" s="12"/>
      <c r="D28" s="13"/>
      <c r="E28" s="202" t="str">
        <f>'BL FORM '!E29:I29</f>
        <v>TAN CANG CAI MEP</v>
      </c>
      <c r="F28" s="196"/>
      <c r="G28" s="196"/>
      <c r="H28" s="196"/>
      <c r="I28" s="197"/>
      <c r="J28" s="157" t="str">
        <f>'BL FORM '!K29</f>
        <v xml:space="preserve">MANILA, PHILIPIINES </v>
      </c>
      <c r="K28" s="38"/>
      <c r="L28" s="38"/>
      <c r="M28" s="38"/>
      <c r="N28" s="39" t="str">
        <f>J28</f>
        <v xml:space="preserve">MANILA, PHILIPIINES </v>
      </c>
      <c r="O28" s="37"/>
      <c r="P28" s="40"/>
    </row>
    <row r="29" spans="1:16" s="106" customFormat="1" ht="17.25" customHeight="1" x14ac:dyDescent="0.2">
      <c r="A29" s="211" t="s">
        <v>12</v>
      </c>
      <c r="B29" s="211"/>
      <c r="C29" s="211"/>
      <c r="D29" s="211"/>
      <c r="E29" s="211"/>
      <c r="F29" s="211"/>
      <c r="G29" s="211"/>
      <c r="H29" s="211"/>
      <c r="I29" s="212"/>
      <c r="J29" s="213" t="s">
        <v>13</v>
      </c>
      <c r="K29" s="213"/>
      <c r="L29" s="213"/>
      <c r="M29" s="213"/>
      <c r="N29" s="213"/>
      <c r="O29" s="213"/>
      <c r="P29" s="213"/>
    </row>
    <row r="30" spans="1:16" s="123" customFormat="1" ht="17.25" customHeight="1" x14ac:dyDescent="0.2">
      <c r="A30" s="115" t="s">
        <v>14</v>
      </c>
      <c r="B30" s="115"/>
      <c r="C30" s="115"/>
      <c r="D30" s="115"/>
      <c r="E30" s="115"/>
      <c r="F30" s="116" t="s">
        <v>15</v>
      </c>
      <c r="G30" s="117"/>
      <c r="H30" s="118"/>
      <c r="I30" s="203" t="s">
        <v>16</v>
      </c>
      <c r="J30" s="204"/>
      <c r="K30" s="205"/>
      <c r="L30" s="205"/>
      <c r="M30" s="119"/>
      <c r="N30" s="120"/>
      <c r="O30" s="121" t="s">
        <v>17</v>
      </c>
      <c r="P30" s="122" t="s">
        <v>18</v>
      </c>
    </row>
    <row r="31" spans="1:16" ht="12.75" customHeight="1" x14ac:dyDescent="0.2">
      <c r="A31" s="51"/>
      <c r="B31" s="51"/>
      <c r="C31" s="52"/>
      <c r="D31" s="12"/>
      <c r="E31" s="12"/>
      <c r="F31" s="12"/>
      <c r="G31" s="12"/>
      <c r="H31" s="13"/>
      <c r="I31" s="52" t="str">
        <f>'BL FORM '!I32</f>
        <v>SHIPPER'S LOAD A COUNT CONTAINERS</v>
      </c>
      <c r="J31" s="138"/>
      <c r="K31" s="12"/>
      <c r="L31" s="12"/>
      <c r="M31" s="12"/>
      <c r="N31" s="33"/>
      <c r="O31" s="6"/>
      <c r="P31" s="53"/>
    </row>
    <row r="32" spans="1:16" ht="12.75" customHeight="1" x14ac:dyDescent="0.2">
      <c r="A32" s="51"/>
      <c r="B32" s="51"/>
      <c r="C32" s="52"/>
      <c r="D32" s="51"/>
      <c r="E32" s="54" t="str">
        <f>'BL FORM '!F33</f>
        <v>10 PALLETS</v>
      </c>
      <c r="G32" s="12"/>
      <c r="H32" s="13"/>
      <c r="I32" s="52" t="str">
        <f>'BL FORM '!I33</f>
        <v>SEALED BY SHIPPER</v>
      </c>
      <c r="J32" s="153"/>
      <c r="K32" s="12"/>
      <c r="L32" s="12"/>
      <c r="M32" s="12"/>
      <c r="N32" s="55"/>
      <c r="O32" s="56" t="str">
        <f>'BL FORM '!P33</f>
        <v xml:space="preserve">4,340.16 KGS </v>
      </c>
      <c r="P32" s="57" t="str">
        <f>'BL FORM '!Q33</f>
        <v xml:space="preserve">10 CBM </v>
      </c>
    </row>
    <row r="33" spans="1:16" ht="12.75" customHeight="1" x14ac:dyDescent="0.2">
      <c r="A33" s="52" t="str">
        <f>'BL FORM '!A34</f>
        <v>CY/CY</v>
      </c>
      <c r="B33" s="58"/>
      <c r="C33" s="59"/>
      <c r="D33" s="59"/>
      <c r="E33" s="59"/>
      <c r="F33" s="60"/>
      <c r="G33" s="51"/>
      <c r="H33" s="61"/>
      <c r="I33" s="52" t="str">
        <f>'BL FORM '!I34</f>
        <v>SAID TO CONTAIN</v>
      </c>
      <c r="J33" s="154"/>
      <c r="K33" s="12"/>
      <c r="L33" s="12"/>
      <c r="M33" s="12"/>
      <c r="N33" s="62"/>
      <c r="P33" s="63"/>
    </row>
    <row r="34" spans="1:16" ht="12.75" customHeight="1" x14ac:dyDescent="0.2">
      <c r="A34" s="52" t="str">
        <f>'BL FORM '!A35</f>
        <v xml:space="preserve">RFSU3015146/ VNSGN2637961/ 20DC/ 10PP/ 4,430.16 KGS </v>
      </c>
      <c r="B34" s="64"/>
      <c r="C34" s="12"/>
      <c r="D34" s="65"/>
      <c r="E34" s="66"/>
      <c r="F34" s="67"/>
      <c r="G34" s="67"/>
      <c r="H34" s="61"/>
      <c r="I34" s="52"/>
      <c r="J34" s="159"/>
      <c r="K34" s="12"/>
      <c r="L34" s="12"/>
      <c r="M34" s="12"/>
      <c r="N34" s="12"/>
      <c r="O34" s="68"/>
      <c r="P34" s="15"/>
    </row>
    <row r="35" spans="1:16" ht="12.75" customHeight="1" x14ac:dyDescent="0.2">
      <c r="A35" s="52"/>
      <c r="B35" s="64"/>
      <c r="C35" s="12"/>
      <c r="D35" s="12"/>
      <c r="E35" s="12"/>
      <c r="F35" s="67"/>
      <c r="G35" s="67"/>
      <c r="H35" s="61"/>
      <c r="I35" s="52" t="str">
        <f>'BL FORM '!I36</f>
        <v>NOMINEE KL 24X(250ML+250ML) COP PH</v>
      </c>
      <c r="J35" s="160"/>
      <c r="K35" s="12"/>
      <c r="L35" s="12"/>
      <c r="M35" s="12"/>
      <c r="N35" s="70"/>
      <c r="O35" s="71"/>
      <c r="P35" s="72"/>
    </row>
    <row r="36" spans="1:16" ht="12.75" customHeight="1" x14ac:dyDescent="0.2">
      <c r="A36" s="52"/>
      <c r="B36" s="12"/>
      <c r="C36" s="73"/>
      <c r="D36" s="51"/>
      <c r="E36" s="51"/>
      <c r="H36" s="51"/>
      <c r="I36" s="171" t="str">
        <f>'BL FORM '!I37</f>
        <v>10 PALLETS</v>
      </c>
      <c r="J36" s="159"/>
      <c r="K36" s="51"/>
      <c r="L36" s="74"/>
      <c r="M36" s="51"/>
      <c r="N36" s="51"/>
      <c r="O36" s="75"/>
    </row>
    <row r="37" spans="1:16" ht="12.75" customHeight="1" x14ac:dyDescent="0.2">
      <c r="A37" s="52" t="str">
        <f>'BL FORM '!A38</f>
        <v xml:space="preserve">TTL: 1X20DC </v>
      </c>
      <c r="B37" s="77"/>
      <c r="C37" s="12"/>
      <c r="D37" s="67"/>
      <c r="E37" s="67"/>
      <c r="G37" s="67"/>
      <c r="H37" s="51"/>
      <c r="I37" s="171" t="str">
        <f>'BL FORM '!I38</f>
        <v xml:space="preserve">09 PALLETS OF 36 BOXES OF 24 BOTTLES OF 500ML </v>
      </c>
      <c r="J37" s="159"/>
      <c r="K37" s="67"/>
      <c r="L37" s="51"/>
      <c r="M37" s="51"/>
      <c r="N37" s="12"/>
      <c r="O37" s="75"/>
      <c r="P37" s="15"/>
    </row>
    <row r="38" spans="1:16" ht="12.75" customHeight="1" x14ac:dyDescent="0.2">
      <c r="A38" s="52" t="str">
        <f>'BL FORM '!A39</f>
        <v xml:space="preserve">SAY ONE CONTAINER ONLY </v>
      </c>
      <c r="C38" s="67"/>
      <c r="D38" s="67"/>
      <c r="E38" s="67"/>
      <c r="F38" s="67"/>
      <c r="G38" s="67"/>
      <c r="H38" s="51"/>
      <c r="I38" s="171" t="str">
        <f>'BL FORM '!I39</f>
        <v>01 PALLETS OF 06 BOXES OF 24 BOTTLES OF 500ML</v>
      </c>
      <c r="J38" s="154"/>
      <c r="K38" s="67"/>
      <c r="L38" s="51"/>
      <c r="M38" s="51"/>
      <c r="N38" s="13"/>
      <c r="P38" s="78"/>
    </row>
    <row r="39" spans="1:16" ht="12.75" customHeight="1" x14ac:dyDescent="0.2">
      <c r="A39" s="52"/>
      <c r="C39" s="67"/>
      <c r="D39" s="67"/>
      <c r="E39" s="67"/>
      <c r="F39" s="67"/>
      <c r="G39" s="67"/>
      <c r="H39" s="51"/>
      <c r="I39" s="171" t="str">
        <f>'BL FORM '!I40</f>
        <v>NET WEIGHT : 7,920.00 PCE</v>
      </c>
      <c r="J39" s="159"/>
      <c r="K39" s="67"/>
      <c r="L39" s="51"/>
      <c r="M39" s="51"/>
      <c r="N39" s="13"/>
      <c r="P39" s="78"/>
    </row>
    <row r="40" spans="1:16" ht="12.75" customHeight="1" x14ac:dyDescent="0.2">
      <c r="A40" s="52" t="str">
        <f>'BL FORM '!A41</f>
        <v xml:space="preserve">MARKING </v>
      </c>
      <c r="C40" s="64"/>
      <c r="D40" s="64"/>
      <c r="E40" s="16"/>
      <c r="F40" s="16"/>
      <c r="G40" s="16"/>
      <c r="H40" s="51"/>
      <c r="I40" s="171" t="str">
        <f>'BL FORM '!I41</f>
        <v>UNIT PACK  : 0.5 LITRES /PCE</v>
      </c>
      <c r="J40" s="155"/>
      <c r="K40" s="16"/>
      <c r="L40" s="16"/>
      <c r="M40" s="16"/>
      <c r="N40" s="13"/>
      <c r="P40" s="78"/>
    </row>
    <row r="41" spans="1:16" ht="12.75" customHeight="1" x14ac:dyDescent="0.2">
      <c r="A41" s="52" t="str">
        <f>'BL FORM '!A42</f>
        <v>BAYER</v>
      </c>
      <c r="C41" s="64"/>
      <c r="D41" s="64"/>
      <c r="E41" s="12"/>
      <c r="F41" s="12"/>
      <c r="G41" s="12"/>
      <c r="H41" s="51"/>
      <c r="I41" s="171" t="str">
        <f>'BL FORM '!I42</f>
        <v>GROSS WEIGHT  : 4,340.16 KGS</v>
      </c>
      <c r="J41" s="161"/>
      <c r="K41" s="12"/>
      <c r="L41" s="12"/>
      <c r="M41" s="12"/>
      <c r="N41" s="13"/>
      <c r="O41" s="24"/>
      <c r="P41" s="78"/>
    </row>
    <row r="42" spans="1:16" ht="12.75" customHeight="1" x14ac:dyDescent="0.2">
      <c r="A42" s="52" t="str">
        <f>'BL FORM '!A43</f>
        <v>BAYER CROPSCIENCE, INC.</v>
      </c>
      <c r="C42" s="64"/>
      <c r="D42" s="64"/>
      <c r="E42" s="12"/>
      <c r="F42" s="12"/>
      <c r="G42" s="12"/>
      <c r="H42" s="51"/>
      <c r="I42" s="171"/>
      <c r="J42" s="161"/>
      <c r="K42" s="67"/>
      <c r="L42" s="12"/>
      <c r="M42" s="12"/>
      <c r="N42" s="13"/>
      <c r="O42" s="24"/>
      <c r="P42" s="78"/>
    </row>
    <row r="43" spans="1:16" ht="12.75" customHeight="1" x14ac:dyDescent="0.2">
      <c r="A43" s="52" t="str">
        <f>'BL FORM '!A44</f>
        <v>MANILA</v>
      </c>
      <c r="B43" s="52"/>
      <c r="C43" s="64"/>
      <c r="D43" s="64"/>
      <c r="E43" s="12"/>
      <c r="F43" s="12"/>
      <c r="G43" s="12"/>
      <c r="H43" s="51"/>
      <c r="I43" s="96"/>
      <c r="J43" s="155"/>
      <c r="K43" s="67"/>
      <c r="L43" s="12"/>
      <c r="M43" s="12"/>
      <c r="N43" s="13"/>
      <c r="O43" s="24"/>
      <c r="P43" s="78"/>
    </row>
    <row r="44" spans="1:16" ht="12.75" customHeight="1" x14ac:dyDescent="0.2">
      <c r="A44" s="52" t="str">
        <f>'BL FORM '!A45</f>
        <v>0618190738</v>
      </c>
      <c r="B44" s="52"/>
      <c r="C44" s="98"/>
      <c r="D44" s="64"/>
      <c r="E44" s="64"/>
      <c r="F44" s="12"/>
      <c r="G44" s="12"/>
      <c r="H44" s="51"/>
      <c r="I44" s="171"/>
      <c r="J44" s="155"/>
      <c r="K44" s="67"/>
      <c r="L44" s="12"/>
      <c r="M44" s="12"/>
      <c r="N44" s="13"/>
      <c r="O44" s="24"/>
      <c r="P44" s="78"/>
    </row>
    <row r="45" spans="1:16" ht="12.75" customHeight="1" x14ac:dyDescent="0.2">
      <c r="A45" s="52" t="str">
        <f>'BL FORM '!A46</f>
        <v>NOMINEE KL 24X(250ML+250ML) COP PH</v>
      </c>
      <c r="B45" s="52"/>
      <c r="C45" s="64"/>
      <c r="D45" s="64"/>
      <c r="E45" s="64"/>
      <c r="F45" s="12"/>
      <c r="G45" s="12"/>
      <c r="H45" s="12"/>
      <c r="I45" s="171"/>
      <c r="J45" s="155"/>
      <c r="K45" s="67"/>
      <c r="L45" s="12"/>
      <c r="M45" s="12"/>
      <c r="N45" s="13"/>
      <c r="O45" s="24"/>
      <c r="P45" s="78"/>
    </row>
    <row r="46" spans="1:16" ht="12.75" customHeight="1" x14ac:dyDescent="0.2">
      <c r="A46" s="52" t="str">
        <f>'BL FORM '!A47</f>
        <v xml:space="preserve">9080889 10 </v>
      </c>
      <c r="B46" s="52"/>
      <c r="C46" s="64"/>
      <c r="D46" s="64"/>
      <c r="E46" s="64"/>
      <c r="F46" s="12"/>
      <c r="G46" s="12"/>
      <c r="H46" s="12"/>
      <c r="I46" s="171"/>
      <c r="J46" s="155"/>
      <c r="K46" s="67"/>
      <c r="L46" s="12"/>
      <c r="M46" s="12"/>
      <c r="N46" s="13"/>
      <c r="O46" s="24"/>
      <c r="P46" s="78"/>
    </row>
    <row r="47" spans="1:16" ht="12.75" customHeight="1" x14ac:dyDescent="0.2">
      <c r="A47" s="52" t="str">
        <f>'BL FORM '!A48</f>
        <v/>
      </c>
      <c r="B47" s="52"/>
      <c r="C47" s="64"/>
      <c r="D47" s="64"/>
      <c r="E47" s="64"/>
      <c r="F47" s="12"/>
      <c r="G47" s="12"/>
      <c r="H47" s="12"/>
      <c r="I47" s="171" t="str">
        <f>'BL FORM '!I47</f>
        <v>HS CODE: 38089319</v>
      </c>
      <c r="J47" s="155"/>
      <c r="K47" s="67"/>
      <c r="L47" s="12"/>
      <c r="M47" s="12"/>
      <c r="N47" s="13"/>
      <c r="O47" s="24"/>
      <c r="P47" s="78"/>
    </row>
    <row r="48" spans="1:16" ht="12.75" customHeight="1" x14ac:dyDescent="0.2">
      <c r="A48" s="52"/>
      <c r="B48" s="52"/>
      <c r="C48" s="64"/>
      <c r="D48" s="64"/>
      <c r="E48" s="64"/>
      <c r="F48" s="12"/>
      <c r="G48" s="12"/>
      <c r="H48" s="12"/>
      <c r="I48" s="171"/>
      <c r="J48" s="155"/>
      <c r="K48" s="67"/>
      <c r="L48" s="12"/>
      <c r="M48" s="12"/>
      <c r="N48" s="13"/>
      <c r="O48" s="24"/>
      <c r="P48" s="78"/>
    </row>
    <row r="49" spans="1:16" ht="12.75" customHeight="1" x14ac:dyDescent="0.2">
      <c r="A49" s="52"/>
      <c r="B49" s="52"/>
      <c r="C49" s="64"/>
      <c r="D49" s="64"/>
      <c r="E49" s="64"/>
      <c r="F49" s="12"/>
      <c r="G49" s="12"/>
      <c r="H49" s="12"/>
      <c r="I49" s="171"/>
      <c r="J49" s="155"/>
      <c r="K49" s="67"/>
      <c r="L49" s="12"/>
      <c r="M49" s="12"/>
      <c r="N49" s="13"/>
      <c r="O49" s="24"/>
      <c r="P49" s="78"/>
    </row>
    <row r="50" spans="1:16" ht="12.75" customHeight="1" x14ac:dyDescent="0.2">
      <c r="A50" s="52"/>
      <c r="B50" s="52"/>
      <c r="C50" s="64"/>
      <c r="D50" s="64"/>
      <c r="E50" s="64"/>
      <c r="F50" s="12"/>
      <c r="G50" s="12"/>
      <c r="H50" s="12"/>
      <c r="I50" s="171"/>
      <c r="J50" s="155"/>
      <c r="K50" s="67"/>
      <c r="L50" s="12"/>
      <c r="M50" s="12"/>
      <c r="N50" s="13"/>
      <c r="O50" s="24"/>
      <c r="P50" s="78"/>
    </row>
    <row r="51" spans="1:16" ht="12.75" customHeight="1" x14ac:dyDescent="0.2">
      <c r="A51" s="52"/>
      <c r="B51" s="52"/>
      <c r="C51" s="64"/>
      <c r="D51" s="64"/>
      <c r="E51" s="64"/>
      <c r="F51" s="12"/>
      <c r="G51" s="12"/>
      <c r="H51" s="12"/>
      <c r="I51" s="171"/>
      <c r="J51" s="124"/>
      <c r="M51" s="12"/>
      <c r="N51" s="13"/>
      <c r="O51" s="24"/>
      <c r="P51" s="78"/>
    </row>
    <row r="52" spans="1:16" ht="12.75" customHeight="1" x14ac:dyDescent="0.2">
      <c r="A52" s="52"/>
      <c r="B52" s="52"/>
      <c r="C52" s="64"/>
      <c r="D52" s="64"/>
      <c r="E52" s="64"/>
      <c r="F52" s="12"/>
      <c r="G52" s="12"/>
      <c r="H52" s="12"/>
      <c r="I52" s="96"/>
      <c r="J52" s="124"/>
      <c r="M52" s="12"/>
      <c r="N52" s="13"/>
      <c r="O52" s="24"/>
      <c r="P52" s="78"/>
    </row>
    <row r="53" spans="1:16" ht="12.75" customHeight="1" x14ac:dyDescent="0.2">
      <c r="A53" s="52"/>
      <c r="B53" s="52"/>
      <c r="C53" s="64"/>
      <c r="D53" s="64"/>
      <c r="E53" s="64"/>
      <c r="F53" s="12"/>
      <c r="G53" s="12"/>
      <c r="H53" s="12"/>
      <c r="I53" s="96"/>
      <c r="J53" s="124"/>
      <c r="M53" s="12"/>
      <c r="N53" s="13"/>
      <c r="O53" s="24"/>
      <c r="P53" s="78"/>
    </row>
    <row r="54" spans="1:16" ht="12.75" customHeight="1" x14ac:dyDescent="0.2">
      <c r="A54" s="52"/>
      <c r="B54" s="52"/>
      <c r="C54" s="64"/>
      <c r="D54" s="64"/>
      <c r="E54" s="64"/>
      <c r="F54" s="12"/>
      <c r="G54" s="12"/>
      <c r="H54" s="12"/>
      <c r="I54" s="171"/>
      <c r="J54" s="155"/>
      <c r="K54" s="67"/>
      <c r="L54" s="52"/>
      <c r="M54" s="12"/>
      <c r="N54" s="13"/>
      <c r="O54" s="24"/>
      <c r="P54" s="78"/>
    </row>
    <row r="55" spans="1:16" ht="12.75" customHeight="1" x14ac:dyDescent="0.2">
      <c r="A55" s="52" t="str">
        <f>'BL FORM '!A56</f>
        <v>FREIGHT PREPAID</v>
      </c>
      <c r="B55" s="52"/>
      <c r="C55" s="64"/>
      <c r="D55" s="64"/>
      <c r="E55" s="64"/>
      <c r="F55" s="12"/>
      <c r="G55" s="12"/>
      <c r="H55" s="12"/>
      <c r="I55" s="171"/>
      <c r="J55" s="155"/>
      <c r="K55" s="67"/>
      <c r="L55" s="52"/>
      <c r="M55" s="12"/>
      <c r="N55" s="13"/>
      <c r="O55" s="24"/>
      <c r="P55" s="78"/>
    </row>
    <row r="56" spans="1:16" ht="12.75" customHeight="1" x14ac:dyDescent="0.2">
      <c r="A56" s="52"/>
      <c r="B56" s="52"/>
      <c r="C56" s="12"/>
      <c r="D56" s="64"/>
      <c r="E56" s="206"/>
      <c r="F56" s="206"/>
      <c r="G56" s="12"/>
      <c r="H56" s="12"/>
      <c r="I56" s="171"/>
      <c r="J56" s="155"/>
      <c r="K56" s="67"/>
      <c r="L56" s="52"/>
      <c r="M56" s="12"/>
      <c r="N56" s="13"/>
      <c r="O56" s="24"/>
      <c r="P56" s="78"/>
    </row>
    <row r="57" spans="1:16" ht="12.75" customHeight="1" x14ac:dyDescent="0.2">
      <c r="A57" s="52"/>
      <c r="B57" s="64"/>
      <c r="C57" s="12"/>
      <c r="D57" s="64"/>
      <c r="E57" s="64"/>
      <c r="F57" s="12"/>
      <c r="G57" s="12"/>
      <c r="H57" s="12"/>
      <c r="I57" s="171"/>
      <c r="J57" s="155"/>
      <c r="K57" s="67"/>
      <c r="L57" s="52"/>
      <c r="M57" s="12"/>
      <c r="N57" s="13"/>
      <c r="O57" s="24"/>
      <c r="P57" s="78"/>
    </row>
    <row r="58" spans="1:16" ht="12.75" customHeight="1" x14ac:dyDescent="0.2">
      <c r="A58" s="52"/>
      <c r="B58" s="64"/>
      <c r="C58" s="12"/>
      <c r="D58" s="64"/>
      <c r="E58" s="64"/>
      <c r="F58" s="12"/>
      <c r="G58" s="12"/>
      <c r="H58" s="12"/>
      <c r="I58" s="171"/>
      <c r="J58" s="155"/>
      <c r="K58" s="12"/>
      <c r="L58" s="12"/>
      <c r="M58" s="12"/>
      <c r="N58" s="13"/>
      <c r="O58" s="80"/>
      <c r="P58" s="15"/>
    </row>
    <row r="59" spans="1:16" ht="12.75" customHeight="1" x14ac:dyDescent="0.2">
      <c r="A59" s="52"/>
      <c r="D59" s="12"/>
      <c r="E59" s="12"/>
      <c r="G59" s="12"/>
      <c r="H59" s="12"/>
      <c r="I59" s="171"/>
      <c r="J59" s="155"/>
      <c r="K59" s="12"/>
      <c r="L59" s="12"/>
      <c r="M59" s="12"/>
      <c r="N59" s="61"/>
      <c r="O59" s="75"/>
      <c r="P59" s="81"/>
    </row>
    <row r="60" spans="1:16" ht="12.75" customHeight="1" x14ac:dyDescent="0.2">
      <c r="A60" s="52"/>
      <c r="D60" s="12"/>
      <c r="E60" s="12"/>
      <c r="F60" s="12"/>
      <c r="G60" s="12"/>
      <c r="H60" s="12"/>
      <c r="I60" s="171"/>
      <c r="J60" s="159"/>
      <c r="K60" s="12"/>
      <c r="L60" s="12"/>
      <c r="M60" s="12"/>
      <c r="N60" s="61"/>
      <c r="O60" s="75"/>
      <c r="P60" s="81"/>
    </row>
    <row r="61" spans="1:16" ht="15.75" customHeight="1" x14ac:dyDescent="0.2">
      <c r="A61" s="52"/>
      <c r="B61" s="83"/>
      <c r="C61" s="83"/>
      <c r="D61" s="82"/>
      <c r="E61" s="82"/>
      <c r="F61" s="82"/>
      <c r="G61" s="82"/>
      <c r="H61" s="84"/>
      <c r="I61" s="52"/>
      <c r="J61" s="162"/>
      <c r="K61" s="82"/>
      <c r="L61" s="82"/>
      <c r="M61" s="82"/>
      <c r="N61" s="85"/>
      <c r="O61" s="86"/>
      <c r="P61" s="87"/>
    </row>
    <row r="62" spans="1:16" s="111" customFormat="1" ht="11.25" customHeight="1" x14ac:dyDescent="0.15">
      <c r="A62" s="125" t="s">
        <v>19</v>
      </c>
      <c r="B62" s="126"/>
      <c r="D62" s="126"/>
      <c r="E62" s="125"/>
      <c r="F62" s="125"/>
      <c r="G62" s="125"/>
      <c r="H62" s="125"/>
      <c r="I62" s="125"/>
      <c r="J62" s="126"/>
      <c r="K62" s="143" t="s">
        <v>20</v>
      </c>
      <c r="L62" s="126"/>
      <c r="M62" s="126"/>
      <c r="N62" s="126"/>
      <c r="O62" s="126"/>
      <c r="P62" s="127"/>
    </row>
    <row r="63" spans="1:16" ht="15" customHeight="1" x14ac:dyDescent="0.2">
      <c r="A63" s="156" t="str">
        <f>'BL FORM '!A59</f>
        <v>PACIFIC CHARTER FORWARDERS INC</v>
      </c>
      <c r="B63" s="51"/>
      <c r="C63" s="51"/>
      <c r="D63" s="51"/>
      <c r="E63" s="51"/>
      <c r="F63" s="51"/>
      <c r="G63" s="51"/>
      <c r="H63" s="51"/>
      <c r="I63" s="51"/>
      <c r="J63" s="124"/>
      <c r="K63" s="144" t="s">
        <v>21</v>
      </c>
      <c r="L63" s="51"/>
      <c r="M63" s="51"/>
      <c r="N63" s="90"/>
      <c r="O63" s="90"/>
      <c r="P63" s="91"/>
    </row>
    <row r="64" spans="1:16" ht="15" customHeight="1" x14ac:dyDescent="0.2">
      <c r="A64" s="156" t="str">
        <f>'BL FORM '!A60</f>
        <v>UNIT 902, PHILFLEX BAY CENTER, CORAL WAY DRIVE</v>
      </c>
      <c r="B64" s="25"/>
      <c r="C64" s="51"/>
      <c r="D64" s="51"/>
      <c r="E64" s="51"/>
      <c r="F64" s="51"/>
      <c r="G64" s="51"/>
      <c r="H64" s="51"/>
      <c r="I64" s="51"/>
      <c r="J64" s="124"/>
      <c r="K64" s="145"/>
      <c r="L64" s="51"/>
      <c r="M64" s="51"/>
      <c r="N64" s="51"/>
      <c r="O64" s="51"/>
      <c r="P64" s="81"/>
    </row>
    <row r="65" spans="1:16" ht="17.25" customHeight="1" x14ac:dyDescent="0.2">
      <c r="A65" s="156" t="str">
        <f>'BL FORM '!A61</f>
        <v>CENTRAL BUSINESS PARK 1, PASAY CITY, 1300 METRO</v>
      </c>
      <c r="B65" s="92"/>
      <c r="C65" s="51"/>
      <c r="D65" s="51"/>
      <c r="E65" s="51"/>
      <c r="F65" s="51"/>
      <c r="G65" s="51"/>
      <c r="H65" s="51"/>
      <c r="I65" s="51"/>
      <c r="J65" s="124"/>
      <c r="K65" s="146"/>
      <c r="L65" s="83"/>
      <c r="M65" s="83"/>
      <c r="N65" s="83"/>
      <c r="O65" s="83"/>
      <c r="P65" s="94"/>
    </row>
    <row r="66" spans="1:16" ht="15" customHeight="1" x14ac:dyDescent="0.2">
      <c r="A66" s="156" t="str">
        <f>'BL FORM '!A62</f>
        <v>MANILA</v>
      </c>
      <c r="B66" s="92"/>
      <c r="C66" s="51"/>
      <c r="D66" s="51"/>
      <c r="E66" s="51"/>
      <c r="F66" s="51"/>
      <c r="G66" s="51"/>
      <c r="H66" s="51"/>
      <c r="I66" s="51"/>
      <c r="J66" s="124"/>
      <c r="K66" s="144" t="s">
        <v>22</v>
      </c>
      <c r="L66" s="51"/>
      <c r="M66" s="51"/>
      <c r="N66" s="51"/>
      <c r="O66" s="51"/>
      <c r="P66" s="81"/>
    </row>
    <row r="67" spans="1:16" ht="15" customHeight="1" x14ac:dyDescent="0.2">
      <c r="A67" s="156" t="str">
        <f>'BL FORM '!A63</f>
        <v>Email: forwarding@pcharter.com / geraldine@pcharter.com</v>
      </c>
      <c r="B67" s="92"/>
      <c r="C67" s="51"/>
      <c r="D67" s="51"/>
      <c r="E67" s="51"/>
      <c r="F67" s="51"/>
      <c r="G67" s="51"/>
      <c r="H67" s="51"/>
      <c r="I67" s="51"/>
      <c r="J67" s="124"/>
      <c r="K67" s="145"/>
      <c r="L67" s="51"/>
      <c r="M67" s="51"/>
      <c r="N67" s="51"/>
      <c r="O67" s="51"/>
      <c r="P67" s="81"/>
    </row>
    <row r="68" spans="1:16" ht="15" customHeight="1" x14ac:dyDescent="0.2">
      <c r="A68" s="156" t="str">
        <f>'BL FORM '!A64</f>
        <v>Tel: 63-2-2930577, 2930587, 2930588, 2930589</v>
      </c>
      <c r="B68" s="92"/>
      <c r="C68" s="51"/>
      <c r="D68" s="51"/>
      <c r="E68" s="51"/>
      <c r="F68" s="51"/>
      <c r="G68" s="51"/>
      <c r="H68" s="51"/>
      <c r="I68" s="51"/>
      <c r="J68" s="124"/>
      <c r="K68" s="145"/>
      <c r="L68" s="51"/>
      <c r="M68" s="51"/>
    </row>
    <row r="69" spans="1:16" ht="14.25" customHeight="1" x14ac:dyDescent="0.15">
      <c r="A69" s="83"/>
      <c r="B69" s="83"/>
      <c r="C69" s="83"/>
      <c r="D69" s="83"/>
      <c r="E69" s="83"/>
      <c r="F69" s="83"/>
      <c r="G69" s="83"/>
      <c r="H69" s="51"/>
      <c r="I69" s="51"/>
      <c r="J69" s="124"/>
      <c r="K69" s="146"/>
      <c r="L69" s="83"/>
      <c r="M69" s="83"/>
      <c r="N69" s="83"/>
      <c r="O69" s="83"/>
      <c r="P69" s="94"/>
    </row>
    <row r="70" spans="1:16" s="111" customFormat="1" ht="18" customHeight="1" x14ac:dyDescent="0.15">
      <c r="A70" s="126" t="s">
        <v>23</v>
      </c>
      <c r="B70" s="126"/>
      <c r="C70" s="126"/>
      <c r="D70" s="126"/>
      <c r="F70" s="128" t="s">
        <v>24</v>
      </c>
      <c r="G70" s="125"/>
      <c r="H70" s="149"/>
      <c r="I70" s="142" t="s">
        <v>25</v>
      </c>
      <c r="J70" s="150"/>
      <c r="K70" s="126" t="s">
        <v>26</v>
      </c>
      <c r="L70" s="126"/>
      <c r="M70" s="126"/>
      <c r="P70" s="129"/>
    </row>
    <row r="71" spans="1:16" ht="11.25" customHeight="1" x14ac:dyDescent="0.15">
      <c r="A71" s="51"/>
      <c r="B71" s="51"/>
      <c r="C71" s="51"/>
      <c r="D71" s="51"/>
      <c r="E71" s="51"/>
      <c r="F71" s="96"/>
      <c r="G71" s="51"/>
      <c r="H71" s="145"/>
      <c r="I71" s="51"/>
      <c r="J71" s="151"/>
      <c r="K71" s="51"/>
      <c r="L71" s="51"/>
      <c r="M71" s="51"/>
      <c r="N71" s="90" t="s">
        <v>27</v>
      </c>
      <c r="O71" s="90"/>
      <c r="P71" s="91">
        <f>'BL FORM '!Q67</f>
        <v>46258</v>
      </c>
    </row>
    <row r="72" spans="1:16" ht="11.25" customHeight="1" x14ac:dyDescent="0.2">
      <c r="A72" s="51"/>
      <c r="B72" s="51"/>
      <c r="C72" s="51"/>
      <c r="D72" s="51"/>
      <c r="E72" s="51"/>
      <c r="F72" s="190" t="s">
        <v>28</v>
      </c>
      <c r="G72" s="207"/>
      <c r="H72" s="208"/>
      <c r="I72" s="193"/>
      <c r="J72" s="209"/>
      <c r="K72" s="51" t="s">
        <v>29</v>
      </c>
      <c r="L72" s="51"/>
      <c r="M72" s="51"/>
      <c r="N72" s="51"/>
      <c r="O72" s="51"/>
      <c r="P72" s="81"/>
    </row>
    <row r="73" spans="1:16" ht="2.25" customHeight="1" x14ac:dyDescent="0.15">
      <c r="A73" s="51"/>
      <c r="B73" s="51"/>
      <c r="C73" s="51"/>
      <c r="D73" s="51"/>
      <c r="E73" s="51"/>
      <c r="F73" s="96"/>
      <c r="G73" s="51"/>
      <c r="H73" s="145"/>
      <c r="I73" s="51"/>
      <c r="J73" s="151"/>
      <c r="K73" s="83"/>
      <c r="L73" s="83"/>
      <c r="M73" s="83"/>
      <c r="N73" s="83"/>
      <c r="O73" s="83"/>
      <c r="P73" s="94"/>
    </row>
    <row r="74" spans="1:16" ht="11.25" customHeight="1" x14ac:dyDescent="0.15">
      <c r="A74" s="51"/>
      <c r="B74" s="51"/>
      <c r="C74" s="51"/>
      <c r="D74" s="51"/>
      <c r="E74" s="51"/>
      <c r="F74" s="96"/>
      <c r="G74" s="51"/>
      <c r="H74" s="145"/>
      <c r="I74" s="51"/>
      <c r="J74" s="151"/>
      <c r="K74" s="126" t="s">
        <v>30</v>
      </c>
      <c r="L74" s="51"/>
      <c r="M74" s="51"/>
    </row>
    <row r="75" spans="1:16" ht="11.25" customHeight="1" x14ac:dyDescent="0.15">
      <c r="A75" s="51"/>
      <c r="B75" s="51"/>
      <c r="C75" s="51"/>
      <c r="D75" s="51"/>
      <c r="E75" s="51"/>
      <c r="F75" s="96"/>
      <c r="G75" s="51"/>
      <c r="H75" s="145"/>
      <c r="I75" s="51"/>
      <c r="J75" s="151"/>
      <c r="K75" s="51"/>
      <c r="L75" s="51"/>
      <c r="M75" s="51"/>
    </row>
    <row r="76" spans="1:16" ht="54" customHeight="1" x14ac:dyDescent="0.15">
      <c r="A76" s="83"/>
      <c r="B76" s="83"/>
      <c r="C76" s="83"/>
      <c r="D76" s="83"/>
      <c r="E76" s="83"/>
      <c r="F76" s="93"/>
      <c r="G76" s="83"/>
      <c r="H76" s="147"/>
      <c r="I76" s="148"/>
      <c r="J76" s="151"/>
      <c r="K76" s="83" t="s">
        <v>31</v>
      </c>
      <c r="L76" s="83"/>
      <c r="M76" s="83"/>
      <c r="N76" s="83"/>
      <c r="O76" s="83"/>
      <c r="P76" s="94"/>
    </row>
    <row r="77" spans="1:16" ht="11.25" customHeight="1" x14ac:dyDescent="0.15">
      <c r="J77" s="152"/>
    </row>
    <row r="78" spans="1:16" ht="11.25" customHeight="1" x14ac:dyDescent="0.15">
      <c r="J78" s="124"/>
    </row>
    <row r="79" spans="1:16" ht="11.25" customHeight="1" x14ac:dyDescent="0.15">
      <c r="J79" s="124"/>
    </row>
    <row r="80" spans="1:16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</sheetData>
  <mergeCells count="10">
    <mergeCell ref="I30:L30"/>
    <mergeCell ref="E56:F56"/>
    <mergeCell ref="F72:G72"/>
    <mergeCell ref="H72:J72"/>
    <mergeCell ref="A2:J4"/>
    <mergeCell ref="J20:N22"/>
    <mergeCell ref="E26:I26"/>
    <mergeCell ref="E28:I28"/>
    <mergeCell ref="A29:I29"/>
    <mergeCell ref="J29:P29"/>
  </mergeCells>
  <pageMargins left="0.35" right="0.1" top="0" bottom="0" header="0.13" footer="0.11"/>
  <pageSetup paperSize="9" scale="73" orientation="portrait" horizontalDpi="300" verticalDpi="300" r:id="rId1"/>
  <headerFooter alignWithMargins="0"/>
  <rowBreaks count="1" manualBreakCount="1">
    <brk id="7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85"/>
  <sheetViews>
    <sheetView showGridLines="0" topLeftCell="A52" workbookViewId="0">
      <selection activeCell="E28" sqref="E28"/>
    </sheetView>
  </sheetViews>
  <sheetFormatPr defaultColWidth="9.140625" defaultRowHeight="9" x14ac:dyDescent="0.15"/>
  <cols>
    <col min="1" max="1" width="2.7109375" style="10" customWidth="1"/>
    <col min="2" max="2" width="6.7109375" style="10" customWidth="1"/>
    <col min="3" max="3" width="6.28515625" style="10" customWidth="1"/>
    <col min="4" max="4" width="11.5703125" style="10" customWidth="1"/>
    <col min="5" max="5" width="6.5703125" style="10" customWidth="1"/>
    <col min="6" max="6" width="5.42578125" style="10" customWidth="1"/>
    <col min="7" max="7" width="9.28515625" style="10" customWidth="1"/>
    <col min="8" max="8" width="9.42578125" style="10" customWidth="1"/>
    <col min="9" max="9" width="6.28515625" style="10" customWidth="1"/>
    <col min="10" max="10" width="0.7109375" style="10" customWidth="1"/>
    <col min="11" max="11" width="7.5703125" style="10" customWidth="1"/>
    <col min="12" max="12" width="8.5703125" style="10" customWidth="1"/>
    <col min="13" max="13" width="10.7109375" style="10" customWidth="1"/>
    <col min="14" max="14" width="7.7109375" style="10" customWidth="1"/>
    <col min="15" max="15" width="3.28515625" style="10" customWidth="1"/>
    <col min="16" max="16" width="14.28515625" style="10" customWidth="1"/>
    <col min="17" max="17" width="15.85546875" style="76" customWidth="1"/>
    <col min="18" max="16384" width="9.140625" style="10"/>
  </cols>
  <sheetData>
    <row r="1" spans="1:17" s="3" customFormat="1" ht="11.2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s="3" customFormat="1" ht="11.25" customHeight="1" x14ac:dyDescent="0.2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"/>
      <c r="M2" s="4"/>
      <c r="N2" s="4"/>
      <c r="O2" s="1"/>
      <c r="P2" s="1"/>
      <c r="Q2" s="2"/>
    </row>
    <row r="3" spans="1:17" s="3" customFormat="1" ht="11.25" customHeight="1" x14ac:dyDescent="0.15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"/>
      <c r="M3" s="1"/>
      <c r="N3" s="1"/>
      <c r="O3" s="1"/>
      <c r="P3" s="1"/>
      <c r="Q3" s="2"/>
    </row>
    <row r="4" spans="1:17" s="3" customFormat="1" ht="11.25" customHeight="1" x14ac:dyDescent="0.15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"/>
      <c r="M4" s="1"/>
      <c r="N4" s="1"/>
      <c r="O4" s="1"/>
      <c r="P4" s="1"/>
      <c r="Q4" s="2"/>
    </row>
    <row r="5" spans="1:17" ht="11.25" customHeight="1" x14ac:dyDescent="0.2">
      <c r="A5" s="5" t="s">
        <v>0</v>
      </c>
      <c r="B5" s="5"/>
      <c r="C5" s="5"/>
      <c r="D5" s="5"/>
      <c r="E5" s="5"/>
      <c r="F5" s="5"/>
      <c r="G5" s="5"/>
      <c r="H5" s="5"/>
      <c r="I5" s="5"/>
      <c r="J5" s="6"/>
      <c r="K5" s="7"/>
      <c r="L5" s="7"/>
      <c r="M5" s="8"/>
      <c r="N5" s="8"/>
      <c r="O5" s="8"/>
      <c r="P5" s="8"/>
      <c r="Q5" s="9"/>
    </row>
    <row r="6" spans="1:17" ht="15.75" customHeight="1" x14ac:dyDescent="0.2">
      <c r="A6" s="11"/>
      <c r="B6" s="163" t="s">
        <v>37</v>
      </c>
      <c r="C6" s="12"/>
      <c r="D6" s="12"/>
      <c r="E6" s="12"/>
      <c r="F6" s="12"/>
      <c r="G6" s="12"/>
      <c r="H6" s="12"/>
      <c r="I6" s="13"/>
      <c r="J6" s="12"/>
      <c r="K6" s="14"/>
      <c r="L6" s="14"/>
      <c r="M6" s="199"/>
      <c r="N6" s="199"/>
      <c r="O6" s="199"/>
      <c r="P6" s="199"/>
      <c r="Q6" s="15"/>
    </row>
    <row r="7" spans="1:17" ht="15.75" customHeight="1" x14ac:dyDescent="0.2">
      <c r="B7" s="163" t="s">
        <v>61</v>
      </c>
      <c r="D7" s="16"/>
      <c r="E7" s="16"/>
      <c r="F7" s="16"/>
      <c r="G7" s="12"/>
      <c r="H7" s="12"/>
      <c r="I7" s="13"/>
      <c r="J7" s="12"/>
      <c r="K7" s="14"/>
      <c r="L7" s="14"/>
      <c r="M7" s="12"/>
      <c r="N7" s="12"/>
      <c r="O7" s="12"/>
      <c r="P7" s="12"/>
      <c r="Q7" s="15"/>
    </row>
    <row r="8" spans="1:17" ht="15.75" customHeight="1" x14ac:dyDescent="0.2">
      <c r="A8" s="12"/>
      <c r="B8" s="163" t="s">
        <v>62</v>
      </c>
      <c r="D8" s="16"/>
      <c r="E8" s="16"/>
      <c r="F8" s="16"/>
      <c r="G8" s="12"/>
      <c r="H8" s="12"/>
      <c r="I8" s="13"/>
      <c r="J8" s="12"/>
      <c r="K8" s="14"/>
      <c r="L8" s="17" t="s">
        <v>1</v>
      </c>
      <c r="M8" s="215" t="s">
        <v>60</v>
      </c>
      <c r="N8" s="200"/>
      <c r="O8" s="200"/>
      <c r="P8" s="200"/>
      <c r="Q8" s="15"/>
    </row>
    <row r="9" spans="1:17" ht="15.75" customHeight="1" x14ac:dyDescent="0.2">
      <c r="A9" s="12"/>
      <c r="B9" s="163" t="s">
        <v>63</v>
      </c>
      <c r="C9" s="16"/>
      <c r="D9" s="16"/>
      <c r="E9" s="16"/>
      <c r="F9" s="16"/>
      <c r="G9" s="12"/>
      <c r="H9" s="12"/>
      <c r="I9" s="13"/>
      <c r="J9" s="12"/>
      <c r="K9" s="14"/>
      <c r="L9" s="14"/>
      <c r="M9" s="18"/>
      <c r="N9" s="18"/>
      <c r="O9" s="18"/>
      <c r="P9" s="18"/>
      <c r="Q9" s="15"/>
    </row>
    <row r="10" spans="1:17" ht="15.75" customHeight="1" x14ac:dyDescent="0.2">
      <c r="A10" s="19" t="s">
        <v>2</v>
      </c>
      <c r="B10" s="163" t="s">
        <v>64</v>
      </c>
      <c r="C10" s="12"/>
      <c r="D10" s="12"/>
      <c r="E10" s="12"/>
      <c r="F10" s="12"/>
      <c r="G10" s="12"/>
      <c r="H10" s="12"/>
      <c r="I10" s="13"/>
      <c r="J10" s="12"/>
      <c r="K10" s="14"/>
      <c r="L10" s="14"/>
      <c r="M10" s="18"/>
      <c r="N10" s="18"/>
      <c r="O10" s="18"/>
      <c r="P10" s="18"/>
      <c r="Q10" s="15"/>
    </row>
    <row r="11" spans="1:17" ht="15.75" customHeight="1" x14ac:dyDescent="0.2">
      <c r="A11" s="20"/>
      <c r="B11" s="20"/>
      <c r="C11" s="20"/>
      <c r="D11" s="20"/>
      <c r="E11" s="20"/>
      <c r="F11" s="20"/>
      <c r="G11" s="20"/>
      <c r="H11" s="20"/>
      <c r="I11" s="21"/>
      <c r="J11" s="20"/>
      <c r="K11" s="22"/>
      <c r="L11" s="22"/>
      <c r="M11" s="20"/>
      <c r="N11" s="20"/>
      <c r="O11" s="20"/>
      <c r="P11" s="20"/>
      <c r="Q11" s="23"/>
    </row>
    <row r="12" spans="1:17" ht="15.75" customHeight="1" x14ac:dyDescent="0.2">
      <c r="A12" s="5" t="s">
        <v>3</v>
      </c>
      <c r="B12" s="5"/>
      <c r="C12" s="5"/>
      <c r="D12" s="5"/>
      <c r="E12" s="5"/>
      <c r="F12" s="5"/>
      <c r="G12" s="12"/>
      <c r="H12" s="12"/>
      <c r="I12" s="12"/>
      <c r="J12" s="24"/>
      <c r="K12" s="14"/>
      <c r="L12" s="14"/>
      <c r="M12" s="12"/>
      <c r="N12" s="12"/>
      <c r="O12" s="12"/>
      <c r="P12" s="12"/>
      <c r="Q12" s="15"/>
    </row>
    <row r="13" spans="1:17" ht="15.75" customHeight="1" x14ac:dyDescent="0.2">
      <c r="A13" s="11"/>
      <c r="B13" s="164" t="str">
        <f>'BL FORM '!A59</f>
        <v>PACIFIC CHARTER FORWARDERS INC</v>
      </c>
      <c r="C13" s="12"/>
      <c r="D13" s="12"/>
      <c r="E13" s="12"/>
      <c r="F13" s="12"/>
      <c r="G13" s="12"/>
      <c r="H13" s="12"/>
      <c r="I13" s="12"/>
      <c r="J13" s="24"/>
      <c r="K13" s="14"/>
      <c r="L13" s="14"/>
      <c r="M13" s="12"/>
      <c r="N13" s="12"/>
      <c r="O13" s="12"/>
      <c r="P13" s="12"/>
      <c r="Q13" s="15"/>
    </row>
    <row r="14" spans="1:17" ht="15.75" customHeight="1" x14ac:dyDescent="0.2">
      <c r="A14" s="12"/>
      <c r="B14" s="164" t="str">
        <f>'BL FORM '!A60</f>
        <v>UNIT 902, PHILFLEX BAY CENTER, CORAL WAY DRIVE</v>
      </c>
      <c r="D14" s="12"/>
      <c r="E14" s="12"/>
      <c r="F14" s="12"/>
      <c r="G14" s="12"/>
      <c r="H14" s="12"/>
      <c r="I14" s="12"/>
      <c r="J14" s="24"/>
      <c r="K14" s="14"/>
      <c r="L14" s="14"/>
      <c r="M14" s="12"/>
      <c r="N14" s="12"/>
      <c r="O14" s="12"/>
      <c r="P14" s="12"/>
      <c r="Q14" s="15"/>
    </row>
    <row r="15" spans="1:17" ht="15.75" customHeight="1" x14ac:dyDescent="0.2">
      <c r="A15" s="12"/>
      <c r="B15" s="164" t="str">
        <f>'BL FORM '!A61</f>
        <v>CENTRAL BUSINESS PARK 1, PASAY CITY, 1300 METRO</v>
      </c>
      <c r="D15" s="12"/>
      <c r="E15" s="12"/>
      <c r="F15" s="12"/>
      <c r="G15" s="12"/>
      <c r="H15" s="12"/>
      <c r="I15" s="12"/>
      <c r="J15" s="24"/>
      <c r="K15" s="14"/>
      <c r="L15" s="14"/>
      <c r="M15" s="12"/>
      <c r="N15" s="12"/>
      <c r="O15" s="12"/>
      <c r="P15" s="12"/>
      <c r="Q15" s="15"/>
    </row>
    <row r="16" spans="1:17" ht="15.75" customHeight="1" x14ac:dyDescent="0.2">
      <c r="A16" s="12"/>
      <c r="B16" s="164" t="str">
        <f>'BL FORM '!A62</f>
        <v>MANILA</v>
      </c>
      <c r="D16" s="12"/>
      <c r="E16" s="12"/>
      <c r="F16" s="12"/>
      <c r="G16" s="12"/>
      <c r="H16" s="12"/>
      <c r="I16" s="12"/>
      <c r="J16" s="24"/>
      <c r="K16" s="14"/>
      <c r="L16" s="14"/>
      <c r="M16" s="12"/>
      <c r="N16" s="12"/>
      <c r="O16" s="14"/>
      <c r="P16" s="14"/>
      <c r="Q16" s="15"/>
    </row>
    <row r="17" spans="1:17" ht="15.75" customHeight="1" x14ac:dyDescent="0.2">
      <c r="A17" s="12"/>
      <c r="B17" s="164" t="str">
        <f>'BL FORM '!A63</f>
        <v>Email: forwarding@pcharter.com / geraldine@pcharter.com</v>
      </c>
      <c r="D17" s="12"/>
      <c r="E17" s="12"/>
      <c r="F17" s="12"/>
      <c r="G17" s="12"/>
      <c r="H17" s="12"/>
      <c r="I17" s="12"/>
      <c r="J17" s="24"/>
      <c r="K17" s="14"/>
      <c r="L17" s="14"/>
      <c r="M17" s="12"/>
      <c r="N17" s="12"/>
      <c r="O17" s="12"/>
      <c r="P17" s="12"/>
      <c r="Q17" s="15"/>
    </row>
    <row r="18" spans="1:17" ht="15.75" customHeight="1" x14ac:dyDescent="0.2">
      <c r="A18" s="20"/>
      <c r="B18" s="164" t="str">
        <f>'BL FORM '!A64</f>
        <v>Tel: 63-2-2930577, 2930587, 2930588, 2930589</v>
      </c>
      <c r="C18" s="20"/>
      <c r="D18" s="20"/>
      <c r="E18" s="20"/>
      <c r="F18" s="20"/>
      <c r="G18" s="20"/>
      <c r="H18" s="20"/>
      <c r="I18" s="20"/>
      <c r="J18" s="24"/>
      <c r="K18" s="14"/>
      <c r="L18" s="14"/>
      <c r="M18" s="12"/>
      <c r="N18" s="12"/>
      <c r="O18" s="12"/>
      <c r="P18" s="12"/>
      <c r="Q18" s="15"/>
    </row>
    <row r="19" spans="1:17" ht="15.75" customHeight="1" x14ac:dyDescent="0.2">
      <c r="A19" s="5" t="s">
        <v>4</v>
      </c>
      <c r="B19" s="5"/>
      <c r="C19" s="5"/>
      <c r="D19" s="5"/>
      <c r="E19" s="5"/>
      <c r="F19" s="5"/>
      <c r="G19" s="5"/>
      <c r="H19" s="5"/>
      <c r="I19" s="5"/>
      <c r="J19" s="24"/>
      <c r="K19" s="26"/>
      <c r="L19" s="14"/>
      <c r="M19" s="12"/>
      <c r="N19" s="12"/>
      <c r="O19" s="12"/>
      <c r="P19" s="12"/>
      <c r="Q19" s="15"/>
    </row>
    <row r="20" spans="1:17" ht="15.75" customHeight="1" x14ac:dyDescent="0.2">
      <c r="A20" s="27" t="s">
        <v>5</v>
      </c>
      <c r="B20" s="27"/>
      <c r="C20" s="12"/>
      <c r="D20" s="12"/>
      <c r="E20" s="12"/>
      <c r="F20" s="12"/>
      <c r="G20" s="12"/>
      <c r="H20" s="12"/>
      <c r="I20" s="12"/>
      <c r="J20" s="24"/>
      <c r="K20" s="14"/>
      <c r="L20" s="14"/>
      <c r="M20" s="12"/>
      <c r="N20" s="12"/>
      <c r="O20" s="12"/>
      <c r="P20" s="12"/>
      <c r="Q20" s="15"/>
    </row>
    <row r="21" spans="1:17" ht="15.75" customHeight="1" x14ac:dyDescent="0.35">
      <c r="A21" s="28" t="s">
        <v>2</v>
      </c>
      <c r="B21" s="28"/>
      <c r="C21" s="12"/>
      <c r="D21" s="12"/>
      <c r="E21" s="12"/>
      <c r="F21" s="12"/>
      <c r="G21" s="12"/>
      <c r="H21" s="12"/>
      <c r="I21" s="12"/>
      <c r="J21" s="24"/>
      <c r="K21" s="201"/>
      <c r="L21" s="201"/>
      <c r="M21" s="201"/>
      <c r="N21" s="201"/>
      <c r="O21" s="201"/>
      <c r="P21" s="100"/>
      <c r="Q21" s="15"/>
    </row>
    <row r="22" spans="1:17" ht="15.75" customHeight="1" x14ac:dyDescent="0.35">
      <c r="A22" s="28"/>
      <c r="B22" s="28"/>
      <c r="C22" s="12"/>
      <c r="D22" s="12"/>
      <c r="E22" s="12"/>
      <c r="F22" s="12"/>
      <c r="G22" s="12"/>
      <c r="H22" s="12"/>
      <c r="I22" s="12"/>
      <c r="J22" s="24"/>
      <c r="K22" s="201"/>
      <c r="L22" s="201"/>
      <c r="M22" s="201"/>
      <c r="N22" s="201"/>
      <c r="O22" s="201"/>
      <c r="P22" s="100"/>
      <c r="Q22" s="15"/>
    </row>
    <row r="23" spans="1:17" ht="15.75" customHeight="1" x14ac:dyDescent="0.35">
      <c r="A23" s="19" t="s">
        <v>2</v>
      </c>
      <c r="B23" s="19"/>
      <c r="C23" s="12"/>
      <c r="D23" s="12"/>
      <c r="E23" s="12"/>
      <c r="F23" s="12"/>
      <c r="G23" s="12"/>
      <c r="H23" s="12"/>
      <c r="I23" s="12"/>
      <c r="J23" s="24"/>
      <c r="K23" s="201"/>
      <c r="L23" s="201"/>
      <c r="M23" s="201"/>
      <c r="N23" s="201"/>
      <c r="O23" s="201"/>
      <c r="P23" s="100"/>
      <c r="Q23" s="15"/>
    </row>
    <row r="24" spans="1:17" ht="15.75" customHeight="1" x14ac:dyDescent="0.2">
      <c r="A24" s="19" t="s">
        <v>2</v>
      </c>
      <c r="B24" s="19"/>
      <c r="C24" s="12"/>
      <c r="D24" s="12"/>
      <c r="E24" s="12"/>
      <c r="F24" s="12"/>
      <c r="G24" s="12"/>
      <c r="H24" s="12"/>
      <c r="I24" s="12"/>
      <c r="J24" s="24"/>
      <c r="K24" s="14"/>
      <c r="L24" s="14"/>
      <c r="M24" s="12"/>
      <c r="N24" s="12"/>
      <c r="O24" s="12"/>
      <c r="P24" s="12"/>
      <c r="Q24" s="15"/>
    </row>
    <row r="25" spans="1:17" ht="29.2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24"/>
      <c r="K25" s="14"/>
      <c r="L25" s="14"/>
      <c r="M25" s="12"/>
      <c r="N25" s="12"/>
      <c r="O25" s="12"/>
      <c r="P25" s="12"/>
      <c r="Q25" s="15"/>
    </row>
    <row r="26" spans="1:17" ht="11.25" customHeight="1" x14ac:dyDescent="0.2">
      <c r="A26" s="5" t="s">
        <v>6</v>
      </c>
      <c r="B26" s="5"/>
      <c r="C26" s="5"/>
      <c r="D26" s="5"/>
      <c r="E26" s="6" t="s">
        <v>7</v>
      </c>
      <c r="F26" s="5"/>
      <c r="G26" s="5"/>
      <c r="H26" s="5"/>
      <c r="I26" s="5"/>
      <c r="J26" s="24"/>
      <c r="K26" s="14"/>
      <c r="L26" s="14"/>
      <c r="M26" s="12"/>
      <c r="N26" s="12"/>
      <c r="O26" s="12"/>
      <c r="P26" s="12"/>
      <c r="Q26" s="15"/>
    </row>
    <row r="27" spans="1:17" ht="23.25" customHeight="1" x14ac:dyDescent="0.2">
      <c r="A27" s="30" t="s">
        <v>2</v>
      </c>
      <c r="B27" s="30"/>
      <c r="C27" s="20"/>
      <c r="D27" s="21"/>
      <c r="E27" s="202" t="s">
        <v>65</v>
      </c>
      <c r="F27" s="196"/>
      <c r="G27" s="196"/>
      <c r="H27" s="196"/>
      <c r="I27" s="197"/>
      <c r="J27" s="24"/>
      <c r="K27" s="31"/>
      <c r="L27" s="31"/>
      <c r="M27" s="31"/>
      <c r="N27" s="31"/>
      <c r="O27" s="31"/>
      <c r="P27" s="31"/>
      <c r="Q27" s="32"/>
    </row>
    <row r="28" spans="1:17" ht="11.25" customHeight="1" x14ac:dyDescent="0.2">
      <c r="A28" s="5" t="s">
        <v>8</v>
      </c>
      <c r="B28" s="5"/>
      <c r="C28" s="5"/>
      <c r="D28" s="33"/>
      <c r="E28" s="6" t="s">
        <v>9</v>
      </c>
      <c r="F28" s="5"/>
      <c r="G28" s="5"/>
      <c r="H28" s="5"/>
      <c r="I28" s="5"/>
      <c r="J28" s="6"/>
      <c r="K28" s="5" t="s">
        <v>10</v>
      </c>
      <c r="L28" s="34"/>
      <c r="M28" s="34"/>
      <c r="N28" s="34"/>
      <c r="O28" s="6" t="s">
        <v>11</v>
      </c>
      <c r="P28" s="5"/>
      <c r="Q28" s="35"/>
    </row>
    <row r="29" spans="1:17" ht="25.5" customHeight="1" x14ac:dyDescent="0.2">
      <c r="A29" s="11" t="str">
        <f>'BL FORM '!A29</f>
        <v>SONGA SUCCESS  1054N</v>
      </c>
      <c r="B29" s="11"/>
      <c r="C29" s="12"/>
      <c r="D29" s="13"/>
      <c r="E29" s="202" t="str">
        <f>'BL FORM '!E29:I29</f>
        <v>TAN CANG CAI MEP</v>
      </c>
      <c r="F29" s="196"/>
      <c r="G29" s="196"/>
      <c r="H29" s="196"/>
      <c r="I29" s="197"/>
      <c r="J29" s="36"/>
      <c r="K29" s="37" t="str">
        <f>'[1]BL FORM '!K29</f>
        <v>NORTH MANILA , PHILIPPINES</v>
      </c>
      <c r="L29" s="38"/>
      <c r="M29" s="38"/>
      <c r="N29" s="38"/>
      <c r="O29" s="39" t="str">
        <f>K29</f>
        <v>NORTH MANILA , PHILIPPINES</v>
      </c>
      <c r="P29" s="37"/>
      <c r="Q29" s="40"/>
    </row>
    <row r="30" spans="1:17" ht="17.25" customHeight="1" x14ac:dyDescent="0.2">
      <c r="A30" s="185" t="s">
        <v>12</v>
      </c>
      <c r="B30" s="185"/>
      <c r="C30" s="185"/>
      <c r="D30" s="185"/>
      <c r="E30" s="185"/>
      <c r="F30" s="185"/>
      <c r="G30" s="185"/>
      <c r="H30" s="185"/>
      <c r="I30" s="186"/>
      <c r="J30" s="41"/>
      <c r="K30" s="187" t="s">
        <v>13</v>
      </c>
      <c r="L30" s="187"/>
      <c r="M30" s="187"/>
      <c r="N30" s="187"/>
      <c r="O30" s="187"/>
      <c r="P30" s="187"/>
      <c r="Q30" s="187"/>
    </row>
    <row r="31" spans="1:17" s="50" customFormat="1" ht="17.25" customHeight="1" x14ac:dyDescent="0.2">
      <c r="A31" s="42" t="s">
        <v>14</v>
      </c>
      <c r="B31" s="42"/>
      <c r="C31" s="42"/>
      <c r="D31" s="42"/>
      <c r="E31" s="42"/>
      <c r="F31" s="43" t="s">
        <v>15</v>
      </c>
      <c r="G31" s="44"/>
      <c r="H31" s="45"/>
      <c r="I31" s="214" t="s">
        <v>16</v>
      </c>
      <c r="J31" s="189"/>
      <c r="K31" s="189"/>
      <c r="L31" s="189"/>
      <c r="M31" s="189"/>
      <c r="N31" s="97"/>
      <c r="O31" s="47"/>
      <c r="P31" s="48" t="s">
        <v>17</v>
      </c>
      <c r="Q31" s="49" t="s">
        <v>18</v>
      </c>
    </row>
    <row r="32" spans="1:17" ht="12.75" customHeight="1" x14ac:dyDescent="0.2">
      <c r="A32" s="51"/>
      <c r="B32" s="51"/>
      <c r="C32" s="52"/>
      <c r="D32" s="12"/>
      <c r="E32" s="12"/>
      <c r="F32" s="12"/>
      <c r="G32" s="12"/>
      <c r="H32" s="12"/>
      <c r="I32" s="172" t="str">
        <f>'BL FORM '!I32</f>
        <v>SHIPPER'S LOAD A COUNT CONTAINERS</v>
      </c>
      <c r="J32" s="12"/>
      <c r="K32" s="12"/>
      <c r="L32" s="12"/>
      <c r="M32" s="12"/>
      <c r="N32" s="12"/>
      <c r="O32" s="33"/>
      <c r="P32" s="6"/>
      <c r="Q32" s="53"/>
    </row>
    <row r="33" spans="1:17" ht="12.75" customHeight="1" x14ac:dyDescent="0.2">
      <c r="A33" s="51"/>
      <c r="B33" s="51"/>
      <c r="C33" s="52"/>
      <c r="D33" s="51"/>
      <c r="E33" s="52"/>
      <c r="F33" s="54" t="str">
        <f>'BL FORM '!F33</f>
        <v>10 PALLETS</v>
      </c>
      <c r="G33" s="12"/>
      <c r="H33" s="12"/>
      <c r="I33" s="172" t="str">
        <f>'BL FORM '!I33</f>
        <v>SEALED BY SHIPPER</v>
      </c>
      <c r="J33" s="12"/>
      <c r="K33" s="12"/>
      <c r="L33" s="12"/>
      <c r="M33" s="12"/>
      <c r="N33" s="12"/>
      <c r="O33" s="55"/>
      <c r="P33" s="56" t="str">
        <f>'BL FORM '!P33</f>
        <v xml:space="preserve">4,340.16 KGS </v>
      </c>
      <c r="Q33" s="57" t="str">
        <f>'BL FORM '!Q33</f>
        <v xml:space="preserve">10 CBM </v>
      </c>
    </row>
    <row r="34" spans="1:17" ht="12.75" customHeight="1" x14ac:dyDescent="0.2">
      <c r="A34" s="52" t="str">
        <f>'BL FORM '!A34</f>
        <v>CY/CY</v>
      </c>
      <c r="B34" s="58"/>
      <c r="C34" s="59"/>
      <c r="D34" s="59"/>
      <c r="E34" s="59"/>
      <c r="F34" s="60"/>
      <c r="G34" s="51"/>
      <c r="H34" s="51"/>
      <c r="I34" s="172" t="str">
        <f>'BL FORM '!I34</f>
        <v>SAID TO CONTAIN</v>
      </c>
      <c r="J34" s="12"/>
      <c r="K34" s="51"/>
      <c r="L34" s="12"/>
      <c r="M34" s="12"/>
      <c r="N34" s="12"/>
      <c r="O34" s="62"/>
      <c r="Q34" s="63"/>
    </row>
    <row r="35" spans="1:17" ht="12.75" customHeight="1" x14ac:dyDescent="0.2">
      <c r="A35" s="52" t="str">
        <f>'BL FORM '!A35</f>
        <v xml:space="preserve">RFSU3015146/ VNSGN2637961/ 20DC/ 10PP/ 4,430.16 KGS </v>
      </c>
      <c r="B35" s="64"/>
      <c r="C35" s="12"/>
      <c r="D35" s="65"/>
      <c r="E35" s="66"/>
      <c r="F35" s="67"/>
      <c r="G35" s="67"/>
      <c r="H35" s="51"/>
      <c r="I35" s="172"/>
      <c r="J35" s="12"/>
      <c r="K35" s="51"/>
      <c r="L35" s="12"/>
      <c r="M35" s="12"/>
      <c r="N35" s="12"/>
      <c r="O35" s="12"/>
      <c r="P35" s="68"/>
      <c r="Q35" s="15"/>
    </row>
    <row r="36" spans="1:17" ht="12.75" customHeight="1" x14ac:dyDescent="0.2">
      <c r="A36" s="52"/>
      <c r="B36" s="64"/>
      <c r="C36" s="12"/>
      <c r="D36" s="12"/>
      <c r="E36" s="12"/>
      <c r="F36" s="67"/>
      <c r="G36" s="67"/>
      <c r="H36" s="51"/>
      <c r="I36" s="172" t="str">
        <f>'BL FORM '!I36</f>
        <v>NOMINEE KL 24X(250ML+250ML) COP PH</v>
      </c>
      <c r="J36" s="12"/>
      <c r="K36" s="69"/>
      <c r="L36" s="12"/>
      <c r="M36" s="12"/>
      <c r="N36" s="12"/>
      <c r="O36" s="70"/>
      <c r="P36" s="71"/>
      <c r="Q36" s="72"/>
    </row>
    <row r="37" spans="1:17" ht="12.75" customHeight="1" x14ac:dyDescent="0.2">
      <c r="A37" s="52"/>
      <c r="B37" s="12"/>
      <c r="C37" s="73"/>
      <c r="D37" s="51"/>
      <c r="E37" s="51"/>
      <c r="H37" s="51"/>
      <c r="I37" s="172" t="str">
        <f>'BL FORM '!I37</f>
        <v>10 PALLETS</v>
      </c>
      <c r="J37" s="51"/>
      <c r="L37" s="51"/>
      <c r="M37" s="74"/>
      <c r="N37" s="51"/>
      <c r="O37" s="51"/>
      <c r="P37" s="75"/>
    </row>
    <row r="38" spans="1:17" ht="12.75" customHeight="1" x14ac:dyDescent="0.2">
      <c r="A38" s="52" t="str">
        <f>'BL FORM '!A38</f>
        <v xml:space="preserve">TTL: 1X20DC </v>
      </c>
      <c r="B38" s="77"/>
      <c r="C38" s="12"/>
      <c r="D38" s="67"/>
      <c r="E38" s="67"/>
      <c r="G38" s="67"/>
      <c r="H38" s="51"/>
      <c r="I38" s="172" t="str">
        <f>'BL FORM '!I38</f>
        <v xml:space="preserve">09 PALLETS OF 36 BOXES OF 24 BOTTLES OF 500ML </v>
      </c>
      <c r="J38" s="67"/>
      <c r="L38" s="67"/>
      <c r="M38" s="51"/>
      <c r="N38" s="51"/>
      <c r="O38" s="12"/>
      <c r="P38" s="75"/>
      <c r="Q38" s="15"/>
    </row>
    <row r="39" spans="1:17" ht="12.75" customHeight="1" x14ac:dyDescent="0.2">
      <c r="A39" s="52" t="str">
        <f>'BL FORM '!A39</f>
        <v xml:space="preserve">SAY ONE CONTAINER ONLY </v>
      </c>
      <c r="C39" s="67"/>
      <c r="D39" s="67"/>
      <c r="E39" s="67"/>
      <c r="F39" s="67"/>
      <c r="G39" s="67"/>
      <c r="H39" s="51"/>
      <c r="I39" s="172" t="str">
        <f>'BL FORM '!I39</f>
        <v>01 PALLETS OF 06 BOXES OF 24 BOTTLES OF 500ML</v>
      </c>
      <c r="J39" s="67"/>
      <c r="K39" s="51"/>
      <c r="L39" s="67"/>
      <c r="M39" s="51"/>
      <c r="N39" s="51"/>
      <c r="O39" s="13"/>
      <c r="Q39" s="78"/>
    </row>
    <row r="40" spans="1:17" ht="12.75" customHeight="1" x14ac:dyDescent="0.2">
      <c r="A40" s="52"/>
      <c r="C40" s="67"/>
      <c r="D40" s="67"/>
      <c r="E40" s="67"/>
      <c r="F40" s="67"/>
      <c r="G40" s="67"/>
      <c r="H40" s="51"/>
      <c r="I40" s="172" t="str">
        <f>'BL FORM '!I40</f>
        <v>NET WEIGHT : 7,920.00 PCE</v>
      </c>
      <c r="J40" s="67"/>
      <c r="K40" s="51"/>
      <c r="L40" s="67"/>
      <c r="M40" s="51"/>
      <c r="N40" s="51"/>
      <c r="O40" s="13"/>
      <c r="Q40" s="78"/>
    </row>
    <row r="41" spans="1:17" ht="12.75" customHeight="1" x14ac:dyDescent="0.2">
      <c r="A41" s="52" t="str">
        <f>'BL FORM '!A41</f>
        <v xml:space="preserve">MARKING </v>
      </c>
      <c r="C41" s="64"/>
      <c r="D41" s="64"/>
      <c r="E41" s="16"/>
      <c r="F41" s="16"/>
      <c r="G41" s="16"/>
      <c r="H41" s="51"/>
      <c r="I41" s="172" t="str">
        <f>'BL FORM '!I41</f>
        <v>UNIT PACK  : 0.5 LITRES /PCE</v>
      </c>
      <c r="J41" s="16"/>
      <c r="K41" s="16"/>
      <c r="L41" s="16"/>
      <c r="M41" s="16"/>
      <c r="N41" s="16"/>
      <c r="O41" s="13"/>
      <c r="Q41" s="78"/>
    </row>
    <row r="42" spans="1:17" ht="12.75" customHeight="1" x14ac:dyDescent="0.25">
      <c r="A42" s="52" t="str">
        <f>'BL FORM '!A42</f>
        <v>BAYER</v>
      </c>
      <c r="C42" s="64"/>
      <c r="D42" s="64"/>
      <c r="E42" s="12"/>
      <c r="F42" s="12"/>
      <c r="G42" s="12"/>
      <c r="H42" s="51"/>
      <c r="I42" s="172" t="str">
        <f>'BL FORM '!I42</f>
        <v>GROSS WEIGHT  : 4,340.16 KGS</v>
      </c>
      <c r="J42" s="79"/>
      <c r="K42" s="79"/>
      <c r="L42" s="12"/>
      <c r="M42" s="12"/>
      <c r="N42" s="12"/>
      <c r="O42" s="13"/>
      <c r="P42" s="24"/>
      <c r="Q42" s="78"/>
    </row>
    <row r="43" spans="1:17" ht="12.75" customHeight="1" x14ac:dyDescent="0.25">
      <c r="A43" s="52" t="str">
        <f>'BL FORM '!A43</f>
        <v>BAYER CROPSCIENCE, INC.</v>
      </c>
      <c r="C43" s="64"/>
      <c r="D43" s="64"/>
      <c r="E43" s="12"/>
      <c r="F43" s="12"/>
      <c r="G43" s="12"/>
      <c r="H43" s="51"/>
      <c r="I43" s="172"/>
      <c r="J43" s="79"/>
      <c r="K43" s="52"/>
      <c r="L43" s="67"/>
      <c r="M43" s="12"/>
      <c r="N43" s="12"/>
      <c r="O43" s="13"/>
      <c r="P43" s="24"/>
      <c r="Q43" s="78"/>
    </row>
    <row r="44" spans="1:17" ht="12.75" customHeight="1" x14ac:dyDescent="0.2">
      <c r="A44" s="52" t="str">
        <f>'BL FORM '!A44</f>
        <v>MANILA</v>
      </c>
      <c r="B44" s="52"/>
      <c r="C44" s="64"/>
      <c r="D44" s="64"/>
      <c r="E44" s="12"/>
      <c r="F44" s="12"/>
      <c r="G44" s="12"/>
      <c r="H44" s="51"/>
      <c r="I44" s="172">
        <f>'BL FORM '!I44</f>
        <v>0</v>
      </c>
      <c r="J44" s="12"/>
      <c r="K44" s="12"/>
      <c r="L44" s="67"/>
      <c r="M44" s="12"/>
      <c r="N44" s="12"/>
      <c r="O44" s="13"/>
      <c r="P44" s="24"/>
      <c r="Q44" s="78"/>
    </row>
    <row r="45" spans="1:17" ht="12.75" customHeight="1" x14ac:dyDescent="0.2">
      <c r="A45" s="52" t="str">
        <f>'BL FORM '!A45</f>
        <v>0618190738</v>
      </c>
      <c r="B45" s="52"/>
      <c r="C45" s="98"/>
      <c r="D45" s="64"/>
      <c r="E45" s="64"/>
      <c r="F45" s="12"/>
      <c r="G45" s="12"/>
      <c r="H45" s="51"/>
      <c r="I45" s="172">
        <f>'BL FORM '!I45</f>
        <v>0</v>
      </c>
      <c r="J45" s="12"/>
      <c r="K45" s="12"/>
      <c r="L45" s="67"/>
      <c r="M45" s="12"/>
      <c r="N45" s="12"/>
      <c r="O45" s="13"/>
      <c r="P45" s="24"/>
      <c r="Q45" s="78"/>
    </row>
    <row r="46" spans="1:17" ht="12.75" customHeight="1" x14ac:dyDescent="0.2">
      <c r="A46" s="52" t="str">
        <f>'BL FORM '!A46</f>
        <v>NOMINEE KL 24X(250ML+250ML) COP PH</v>
      </c>
      <c r="B46" s="52"/>
      <c r="C46" s="64"/>
      <c r="D46" s="64"/>
      <c r="E46" s="64"/>
      <c r="F46" s="12"/>
      <c r="G46" s="12"/>
      <c r="H46" s="12"/>
      <c r="I46" s="172">
        <f>'BL FORM '!I46</f>
        <v>0</v>
      </c>
      <c r="J46" s="12"/>
      <c r="K46" s="12"/>
      <c r="L46" s="67"/>
      <c r="M46" s="12"/>
      <c r="N46" s="12"/>
      <c r="O46" s="13"/>
      <c r="P46" s="24"/>
      <c r="Q46" s="78"/>
    </row>
    <row r="47" spans="1:17" ht="12.75" customHeight="1" x14ac:dyDescent="0.2">
      <c r="A47" s="52" t="str">
        <f>'BL FORM '!A47</f>
        <v xml:space="preserve">9080889 10 </v>
      </c>
      <c r="B47" s="52"/>
      <c r="C47" s="64"/>
      <c r="D47" s="64"/>
      <c r="E47" s="64"/>
      <c r="F47" s="12"/>
      <c r="G47" s="12"/>
      <c r="H47" s="12"/>
      <c r="I47" s="172" t="str">
        <f>'BL FORM '!I47</f>
        <v>HS CODE: 38089319</v>
      </c>
      <c r="J47" s="12"/>
      <c r="K47" s="12"/>
      <c r="L47" s="12"/>
      <c r="M47" s="12"/>
      <c r="N47" s="12"/>
      <c r="O47" s="13"/>
      <c r="P47" s="24"/>
      <c r="Q47" s="78"/>
    </row>
    <row r="48" spans="1:17" ht="12.75" customHeight="1" x14ac:dyDescent="0.2">
      <c r="A48" s="52" t="str">
        <f>'BL FORM '!A48</f>
        <v/>
      </c>
      <c r="B48" s="52"/>
      <c r="C48" s="12"/>
      <c r="D48" s="64"/>
      <c r="E48" s="206"/>
      <c r="F48" s="206"/>
      <c r="G48" s="12"/>
      <c r="H48" s="12"/>
      <c r="I48" s="172">
        <f>'BL FORM '!I48</f>
        <v>0</v>
      </c>
      <c r="J48" s="12"/>
      <c r="K48" s="12"/>
      <c r="L48" s="12"/>
      <c r="M48" s="12"/>
      <c r="N48" s="12"/>
      <c r="O48" s="13"/>
      <c r="P48" s="24"/>
      <c r="Q48" s="78"/>
    </row>
    <row r="49" spans="1:17" ht="12.75" customHeight="1" x14ac:dyDescent="0.2">
      <c r="A49" s="52">
        <f>'BL FORM '!A49</f>
        <v>0</v>
      </c>
      <c r="B49" s="64"/>
      <c r="C49" s="12"/>
      <c r="D49" s="64"/>
      <c r="E49" s="64"/>
      <c r="F49" s="12"/>
      <c r="G49" s="12"/>
      <c r="H49" s="12"/>
      <c r="I49" s="172">
        <f>'BL FORM '!I49</f>
        <v>0</v>
      </c>
      <c r="J49" s="12"/>
      <c r="K49" s="12"/>
      <c r="L49" s="12"/>
      <c r="M49" s="12"/>
      <c r="N49" s="12"/>
      <c r="O49" s="13"/>
      <c r="P49" s="24"/>
      <c r="Q49" s="78"/>
    </row>
    <row r="50" spans="1:17" ht="12.75" customHeight="1" x14ac:dyDescent="0.2">
      <c r="A50" s="52">
        <f>'BL FORM '!A50</f>
        <v>0</v>
      </c>
      <c r="B50" s="64"/>
      <c r="C50" s="12"/>
      <c r="D50" s="64"/>
      <c r="E50" s="64"/>
      <c r="F50" s="12"/>
      <c r="G50" s="12"/>
      <c r="H50" s="12"/>
      <c r="I50" s="172">
        <f>'BL FORM '!I50</f>
        <v>0</v>
      </c>
      <c r="J50" s="12"/>
      <c r="K50" s="12"/>
      <c r="L50" s="12"/>
      <c r="M50" s="12"/>
      <c r="N50" s="12"/>
      <c r="O50" s="13"/>
      <c r="P50" s="24"/>
      <c r="Q50" s="78"/>
    </row>
    <row r="51" spans="1:17" ht="12.75" customHeight="1" x14ac:dyDescent="0.2">
      <c r="A51" s="52">
        <f>'BL FORM '!A51</f>
        <v>0</v>
      </c>
      <c r="B51" s="64"/>
      <c r="C51" s="12"/>
      <c r="D51" s="64"/>
      <c r="E51" s="64"/>
      <c r="F51" s="12"/>
      <c r="G51" s="12"/>
      <c r="H51" s="12"/>
      <c r="I51" s="172"/>
      <c r="J51" s="12"/>
      <c r="K51" s="12"/>
      <c r="L51" s="12"/>
      <c r="M51" s="52"/>
      <c r="N51" s="12"/>
      <c r="O51" s="13"/>
      <c r="P51" s="24"/>
      <c r="Q51" s="78"/>
    </row>
    <row r="52" spans="1:17" ht="12.75" customHeight="1" x14ac:dyDescent="0.2">
      <c r="A52" s="52">
        <f>'BL FORM '!A52</f>
        <v>0</v>
      </c>
      <c r="B52" s="64"/>
      <c r="C52" s="12"/>
      <c r="D52" s="64"/>
      <c r="E52" s="64"/>
      <c r="F52" s="12"/>
      <c r="G52" s="12"/>
      <c r="H52" s="12"/>
      <c r="I52" s="172">
        <f>'BL FORM '!I52</f>
        <v>0</v>
      </c>
      <c r="J52" s="12"/>
      <c r="K52" s="12"/>
      <c r="L52" s="12"/>
      <c r="M52" s="52">
        <f>'BL FORM '!M52</f>
        <v>0</v>
      </c>
      <c r="N52" s="12"/>
      <c r="O52" s="13"/>
      <c r="P52" s="24"/>
      <c r="Q52" s="78"/>
    </row>
    <row r="53" spans="1:17" ht="12.75" customHeight="1" x14ac:dyDescent="0.2">
      <c r="A53" s="52">
        <f>'BL FORM '!A53</f>
        <v>0</v>
      </c>
      <c r="B53" s="64"/>
      <c r="C53" s="12"/>
      <c r="D53" s="64"/>
      <c r="E53" s="64"/>
      <c r="F53" s="12"/>
      <c r="G53" s="12"/>
      <c r="H53" s="12"/>
      <c r="I53" s="172">
        <f>'BL FORM '!I53</f>
        <v>0</v>
      </c>
      <c r="J53" s="12"/>
      <c r="K53" s="12"/>
      <c r="L53" s="12"/>
      <c r="M53" s="52">
        <f>'BL FORM '!M53</f>
        <v>0</v>
      </c>
      <c r="N53" s="12"/>
      <c r="O53" s="13"/>
      <c r="P53" s="24"/>
      <c r="Q53" s="78"/>
    </row>
    <row r="54" spans="1:17" ht="12.75" customHeight="1" x14ac:dyDescent="0.2">
      <c r="A54" s="52">
        <f>'BL FORM '!A54</f>
        <v>0</v>
      </c>
      <c r="B54" s="64"/>
      <c r="C54" s="12"/>
      <c r="D54" s="64"/>
      <c r="E54" s="64"/>
      <c r="F54" s="12"/>
      <c r="G54" s="12"/>
      <c r="H54" s="12"/>
      <c r="I54" s="172">
        <f>'BL FORM '!I54</f>
        <v>0</v>
      </c>
      <c r="J54" s="12"/>
      <c r="K54" s="12"/>
      <c r="L54" s="12"/>
      <c r="M54" s="52">
        <f>'BL FORM '!M54</f>
        <v>0</v>
      </c>
      <c r="N54" s="12"/>
      <c r="O54" s="13"/>
      <c r="P54" s="24"/>
      <c r="Q54" s="78"/>
    </row>
    <row r="55" spans="1:17" ht="12.75" customHeight="1" x14ac:dyDescent="0.2">
      <c r="A55" s="52"/>
      <c r="B55" s="64"/>
      <c r="C55" s="12"/>
      <c r="D55" s="64"/>
      <c r="E55" s="64"/>
      <c r="F55" s="12"/>
      <c r="G55" s="12"/>
      <c r="H55" s="12"/>
      <c r="I55" s="172">
        <f>'BL FORM '!I55</f>
        <v>0</v>
      </c>
      <c r="J55" s="12"/>
      <c r="K55" s="12"/>
      <c r="L55" s="12"/>
      <c r="M55" s="52">
        <f>'BL FORM '!M55</f>
        <v>0</v>
      </c>
      <c r="N55" s="12"/>
      <c r="O55" s="13"/>
      <c r="P55" s="24"/>
      <c r="Q55" s="78"/>
    </row>
    <row r="56" spans="1:17" ht="12.75" customHeight="1" x14ac:dyDescent="0.2">
      <c r="A56" s="52" t="str">
        <f>'BL FORM '!A56</f>
        <v>FREIGHT PREPAID</v>
      </c>
      <c r="B56" s="64"/>
      <c r="C56" s="12"/>
      <c r="D56" s="64"/>
      <c r="E56" s="64"/>
      <c r="F56" s="12"/>
      <c r="G56" s="12"/>
      <c r="H56" s="12"/>
      <c r="I56" s="172">
        <f>'BL FORM '!I56</f>
        <v>0</v>
      </c>
      <c r="J56" s="12"/>
      <c r="K56" s="12"/>
      <c r="L56" s="12"/>
      <c r="M56" s="12"/>
      <c r="N56" s="12"/>
      <c r="O56" s="13"/>
      <c r="P56" s="24"/>
      <c r="Q56" s="78"/>
    </row>
    <row r="57" spans="1:17" ht="15.75" customHeight="1" x14ac:dyDescent="0.2">
      <c r="B57" s="83"/>
      <c r="C57" s="83"/>
      <c r="D57" s="82"/>
      <c r="E57" s="82"/>
      <c r="F57" s="82"/>
      <c r="G57" s="82"/>
      <c r="H57" s="84"/>
      <c r="I57" s="172">
        <f>'BL FORM '!I57</f>
        <v>0</v>
      </c>
      <c r="L57" s="82"/>
      <c r="M57" s="82"/>
      <c r="N57" s="82"/>
      <c r="O57" s="85"/>
      <c r="P57" s="86"/>
      <c r="Q57" s="87"/>
    </row>
    <row r="58" spans="1:17" ht="11.25" customHeight="1" x14ac:dyDescent="0.15">
      <c r="A58" s="88" t="s">
        <v>19</v>
      </c>
      <c r="B58" s="51"/>
      <c r="D58" s="51"/>
      <c r="E58" s="88"/>
      <c r="F58" s="88"/>
      <c r="G58" s="88"/>
      <c r="H58" s="88"/>
      <c r="I58" s="88"/>
      <c r="J58" s="88"/>
      <c r="K58" s="89"/>
      <c r="L58" s="51" t="s">
        <v>20</v>
      </c>
      <c r="M58" s="51"/>
      <c r="N58" s="51"/>
      <c r="O58" s="51"/>
      <c r="P58" s="51"/>
      <c r="Q58" s="81"/>
    </row>
    <row r="59" spans="1:17" ht="15" customHeight="1" x14ac:dyDescent="0.1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61"/>
      <c r="L59" s="51" t="s">
        <v>21</v>
      </c>
      <c r="M59" s="51"/>
      <c r="N59" s="51"/>
      <c r="O59" s="90"/>
      <c r="P59" s="90"/>
      <c r="Q59" s="91"/>
    </row>
    <row r="60" spans="1:17" ht="15" customHeight="1" x14ac:dyDescent="0.2">
      <c r="A60" s="51"/>
      <c r="B60" s="25"/>
      <c r="C60" s="51"/>
      <c r="D60" s="51"/>
      <c r="E60" s="51"/>
      <c r="F60" s="51"/>
      <c r="G60" s="51"/>
      <c r="H60" s="51"/>
      <c r="I60" s="51"/>
      <c r="J60" s="51"/>
      <c r="K60" s="61"/>
      <c r="L60" s="51"/>
      <c r="M60" s="51"/>
      <c r="N60" s="51"/>
      <c r="O60" s="51"/>
      <c r="P60" s="51"/>
      <c r="Q60" s="81"/>
    </row>
    <row r="61" spans="1:17" ht="17.25" customHeight="1" x14ac:dyDescent="0.2">
      <c r="A61" s="51"/>
      <c r="B61" s="92"/>
      <c r="C61" s="51"/>
      <c r="D61" s="51"/>
      <c r="E61" s="51"/>
      <c r="F61" s="51"/>
      <c r="G61" s="51"/>
      <c r="H61" s="51"/>
      <c r="I61" s="51"/>
      <c r="J61" s="51"/>
      <c r="K61" s="61"/>
      <c r="L61" s="93"/>
      <c r="M61" s="83"/>
      <c r="N61" s="83"/>
      <c r="O61" s="83"/>
      <c r="P61" s="83"/>
      <c r="Q61" s="94"/>
    </row>
    <row r="62" spans="1:17" ht="15" customHeight="1" x14ac:dyDescent="0.2">
      <c r="A62" s="51"/>
      <c r="B62" s="92"/>
      <c r="C62" s="51"/>
      <c r="D62" s="51"/>
      <c r="E62" s="51"/>
      <c r="F62" s="51"/>
      <c r="G62" s="51"/>
      <c r="H62" s="51"/>
      <c r="I62" s="51"/>
      <c r="J62" s="51"/>
      <c r="K62" s="61"/>
      <c r="L62" s="51" t="s">
        <v>22</v>
      </c>
      <c r="M62" s="51"/>
      <c r="N62" s="51"/>
      <c r="O62" s="51"/>
      <c r="P62" s="51"/>
      <c r="Q62" s="81"/>
    </row>
    <row r="63" spans="1:17" ht="15" customHeight="1" x14ac:dyDescent="0.2">
      <c r="A63" s="51"/>
      <c r="B63" s="92"/>
      <c r="C63" s="51"/>
      <c r="D63" s="51"/>
      <c r="E63" s="51"/>
      <c r="F63" s="51"/>
      <c r="G63" s="51"/>
      <c r="H63" s="51"/>
      <c r="I63" s="51"/>
      <c r="J63" s="51"/>
      <c r="K63" s="61"/>
      <c r="L63" s="51"/>
      <c r="M63" s="51"/>
      <c r="N63" s="51"/>
      <c r="O63" s="51"/>
      <c r="P63" s="51"/>
      <c r="Q63" s="81"/>
    </row>
    <row r="64" spans="1:17" ht="15" customHeight="1" x14ac:dyDescent="0.2">
      <c r="A64" s="51"/>
      <c r="B64" s="92"/>
      <c r="C64" s="51"/>
      <c r="D64" s="51"/>
      <c r="E64" s="51"/>
      <c r="F64" s="51"/>
      <c r="G64" s="51"/>
      <c r="H64" s="51"/>
      <c r="I64" s="51"/>
      <c r="J64" s="51"/>
      <c r="K64" s="61"/>
      <c r="L64" s="51"/>
      <c r="M64" s="51"/>
      <c r="N64" s="51"/>
    </row>
    <row r="65" spans="1:17" ht="26.25" customHeight="1" x14ac:dyDescent="0.1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5"/>
      <c r="L65" s="93"/>
      <c r="M65" s="83"/>
      <c r="N65" s="83"/>
      <c r="O65" s="83"/>
      <c r="P65" s="83"/>
      <c r="Q65" s="94"/>
    </row>
    <row r="66" spans="1:17" ht="18" customHeight="1" x14ac:dyDescent="0.15">
      <c r="A66" s="51" t="s">
        <v>23</v>
      </c>
      <c r="B66" s="51"/>
      <c r="C66" s="51"/>
      <c r="D66" s="51"/>
      <c r="F66" s="95" t="s">
        <v>24</v>
      </c>
      <c r="G66" s="89"/>
      <c r="H66" s="51"/>
      <c r="I66" s="51" t="s">
        <v>25</v>
      </c>
      <c r="J66" s="51"/>
      <c r="K66" s="61"/>
      <c r="L66" s="51" t="s">
        <v>26</v>
      </c>
      <c r="M66" s="51"/>
      <c r="N66" s="51"/>
    </row>
    <row r="67" spans="1:17" ht="11.25" customHeight="1" x14ac:dyDescent="0.15">
      <c r="A67" s="51"/>
      <c r="B67" s="51"/>
      <c r="C67" s="51"/>
      <c r="D67" s="51"/>
      <c r="E67" s="51"/>
      <c r="F67" s="96"/>
      <c r="G67" s="61"/>
      <c r="H67" s="51"/>
      <c r="I67" s="51"/>
      <c r="J67" s="51"/>
      <c r="K67" s="61"/>
      <c r="L67" s="51"/>
      <c r="M67" s="51"/>
      <c r="N67" s="51"/>
      <c r="O67" s="90" t="s">
        <v>27</v>
      </c>
      <c r="P67" s="90"/>
      <c r="Q67" s="91">
        <f>'BL FORM '!Q67</f>
        <v>46258</v>
      </c>
    </row>
    <row r="68" spans="1:17" ht="11.25" customHeight="1" x14ac:dyDescent="0.2">
      <c r="A68" s="51"/>
      <c r="B68" s="51"/>
      <c r="C68" s="51"/>
      <c r="D68" s="51"/>
      <c r="E68" s="51"/>
      <c r="F68" s="190" t="s">
        <v>28</v>
      </c>
      <c r="G68" s="191"/>
      <c r="H68" s="192"/>
      <c r="I68" s="193"/>
      <c r="J68" s="193"/>
      <c r="K68" s="194"/>
      <c r="L68" s="51" t="s">
        <v>29</v>
      </c>
      <c r="M68" s="51"/>
      <c r="N68" s="51"/>
      <c r="O68" s="51"/>
      <c r="P68" s="51"/>
      <c r="Q68" s="81"/>
    </row>
    <row r="69" spans="1:17" ht="2.25" customHeight="1" x14ac:dyDescent="0.15">
      <c r="A69" s="51"/>
      <c r="B69" s="51"/>
      <c r="C69" s="51"/>
      <c r="D69" s="51"/>
      <c r="E69" s="51"/>
      <c r="F69" s="96"/>
      <c r="G69" s="61"/>
      <c r="H69" s="51"/>
      <c r="I69" s="51"/>
      <c r="J69" s="51"/>
      <c r="K69" s="61"/>
      <c r="L69" s="93"/>
      <c r="M69" s="83"/>
      <c r="N69" s="83"/>
      <c r="O69" s="83"/>
      <c r="P69" s="83"/>
      <c r="Q69" s="94"/>
    </row>
    <row r="70" spans="1:17" ht="11.25" customHeight="1" x14ac:dyDescent="0.15">
      <c r="A70" s="51"/>
      <c r="B70" s="51"/>
      <c r="C70" s="51"/>
      <c r="D70" s="51"/>
      <c r="E70" s="51"/>
      <c r="F70" s="96"/>
      <c r="G70" s="61"/>
      <c r="H70" s="51"/>
      <c r="I70" s="51"/>
      <c r="J70" s="51"/>
      <c r="K70" s="61"/>
      <c r="L70" s="51" t="s">
        <v>30</v>
      </c>
      <c r="M70" s="51"/>
      <c r="N70" s="51"/>
    </row>
    <row r="71" spans="1:17" ht="11.25" customHeight="1" x14ac:dyDescent="0.15">
      <c r="A71" s="51"/>
      <c r="B71" s="51"/>
      <c r="C71" s="51"/>
      <c r="D71" s="51"/>
      <c r="E71" s="51"/>
      <c r="F71" s="96"/>
      <c r="G71" s="61"/>
      <c r="H71" s="51"/>
      <c r="I71" s="51"/>
      <c r="J71" s="51"/>
      <c r="K71" s="61"/>
      <c r="L71" s="51"/>
      <c r="M71" s="51"/>
      <c r="N71" s="51"/>
    </row>
    <row r="72" spans="1:17" ht="21" customHeight="1" x14ac:dyDescent="0.15">
      <c r="A72" s="83"/>
      <c r="B72" s="83"/>
      <c r="C72" s="83"/>
      <c r="D72" s="83"/>
      <c r="E72" s="83"/>
      <c r="F72" s="93"/>
      <c r="G72" s="85"/>
      <c r="H72" s="83"/>
      <c r="I72" s="83"/>
      <c r="J72" s="83"/>
      <c r="K72" s="85"/>
      <c r="L72" s="93" t="s">
        <v>31</v>
      </c>
      <c r="M72" s="83"/>
      <c r="N72" s="83"/>
      <c r="O72" s="83"/>
      <c r="P72" s="83"/>
      <c r="Q72" s="94"/>
    </row>
    <row r="73" spans="1:17" ht="11.25" customHeight="1" x14ac:dyDescent="0.15"/>
    <row r="74" spans="1:17" ht="11.25" customHeight="1" x14ac:dyDescent="0.15"/>
    <row r="75" spans="1:17" ht="11.25" customHeight="1" x14ac:dyDescent="0.15"/>
    <row r="76" spans="1:17" ht="11.25" customHeight="1" x14ac:dyDescent="0.15"/>
    <row r="77" spans="1:17" ht="11.25" customHeight="1" x14ac:dyDescent="0.15"/>
    <row r="78" spans="1:17" ht="11.25" customHeight="1" x14ac:dyDescent="0.15"/>
    <row r="79" spans="1:17" ht="11.25" customHeight="1" x14ac:dyDescent="0.15"/>
    <row r="80" spans="1:17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</sheetData>
  <mergeCells count="12">
    <mergeCell ref="E29:I29"/>
    <mergeCell ref="A2:K4"/>
    <mergeCell ref="M6:P6"/>
    <mergeCell ref="M8:P8"/>
    <mergeCell ref="K21:O23"/>
    <mergeCell ref="E27:I27"/>
    <mergeCell ref="A30:I30"/>
    <mergeCell ref="K30:Q30"/>
    <mergeCell ref="I31:M31"/>
    <mergeCell ref="E48:F48"/>
    <mergeCell ref="F68:G68"/>
    <mergeCell ref="H68:K68"/>
  </mergeCells>
  <pageMargins left="0.35" right="0.1" top="0" bottom="0" header="0.13" footer="0.11"/>
  <pageSetup paperSize="9" scale="8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BL FORM </vt:lpstr>
      <vt:lpstr>HBL </vt:lpstr>
      <vt:lpstr>MBL </vt:lpstr>
      <vt:lpstr>'BL FORM '!_Hlk123206143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</dc:creator>
  <cp:lastModifiedBy>YEN</cp:lastModifiedBy>
  <cp:lastPrinted>2025-10-23T02:39:43Z</cp:lastPrinted>
  <dcterms:created xsi:type="dcterms:W3CDTF">2022-06-02T09:03:21Z</dcterms:created>
  <dcterms:modified xsi:type="dcterms:W3CDTF">2026-08-14T05:23:44Z</dcterms:modified>
</cp:coreProperties>
</file>